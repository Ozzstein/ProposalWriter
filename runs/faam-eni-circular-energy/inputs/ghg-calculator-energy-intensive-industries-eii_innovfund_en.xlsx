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hidePivotFieldList="1" defaultThemeVersion="166925"/>
  <xr:revisionPtr revIDLastSave="0" documentId="8_{71A9F1B8-BE37-4C05-A1A3-9B08552A3F07}" xr6:coauthVersionLast="47" xr6:coauthVersionMax="47" xr10:uidLastSave="{00000000-0000-0000-0000-000000000000}"/>
  <bookViews>
    <workbookView xWindow="-120" yWindow="-120" windowWidth="29040" windowHeight="15720" tabRatio="890" xr2:uid="{55D76FA1-AD2A-4051-B463-C13419C2D341}"/>
  </bookViews>
  <sheets>
    <sheet name="Overview EII" sheetId="1" r:id="rId1"/>
    <sheet name="Lists" sheetId="36" state="hidden" r:id="rId2"/>
    <sheet name="Summary" sheetId="2" r:id="rId3"/>
    <sheet name="Summary per year" sheetId="32" r:id="rId4"/>
    <sheet name="Process Diagram" sheetId="14" r:id="rId5"/>
    <sheet name="Reference emissions EII" sheetId="3" r:id="rId6"/>
    <sheet name="Project emissions EII" sheetId="4" r:id="rId7"/>
    <sheet name="Ref Conversion Factors EII" sheetId="15" r:id="rId8"/>
    <sheet name="Proj Conversion Factors EII" sheetId="16" r:id="rId9"/>
    <sheet name="Assumptions" sheetId="19" r:id="rId10"/>
    <sheet name="CC credit overview" sheetId="34" r:id="rId11"/>
    <sheet name="CC credit calculation" sheetId="35" r:id="rId12"/>
    <sheet name="History of changes" sheetId="26" r:id="rId13"/>
  </sheets>
  <definedNames>
    <definedName name="Product_list">IFERROR(_xlfn._xlws.FILTER('Overview EII'!$B$45:$B$95,'Overview EII'!$A$45:$A$95=Summary!$B$6),"Select sector first")</definedName>
  </definedNames>
  <calcPr calcId="191028" iterate="1" iterateDelta="1.0000000000000001E-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0" i="4" l="1"/>
  <c r="J40" i="4"/>
  <c r="I40" i="4"/>
  <c r="V21" i="4"/>
  <c r="P41" i="4"/>
  <c r="O41" i="4"/>
  <c r="N41" i="4"/>
  <c r="M41" i="4"/>
  <c r="L41" i="4"/>
  <c r="K41" i="4"/>
  <c r="J41" i="4"/>
  <c r="I41" i="4"/>
  <c r="H41" i="4"/>
  <c r="H39" i="4"/>
  <c r="G39" i="4"/>
  <c r="I39" i="4"/>
  <c r="J39" i="4"/>
  <c r="K39" i="4"/>
  <c r="L39" i="4"/>
  <c r="M39" i="4"/>
  <c r="N39" i="4"/>
  <c r="O39" i="4"/>
  <c r="P39" i="4"/>
  <c r="G40" i="4"/>
  <c r="H40" i="4"/>
  <c r="K40" i="4"/>
  <c r="M40" i="4"/>
  <c r="N40" i="4"/>
  <c r="O40" i="4"/>
  <c r="P40" i="4"/>
  <c r="G41" i="4"/>
  <c r="Q35" i="3"/>
  <c r="Q39" i="4" l="1"/>
  <c r="AC21" i="4" l="1"/>
  <c r="AB21" i="4"/>
  <c r="AA21" i="4"/>
  <c r="Z21" i="4"/>
  <c r="Y21" i="4"/>
  <c r="X21" i="4"/>
  <c r="W21" i="4"/>
  <c r="U21" i="4"/>
  <c r="T21" i="4"/>
  <c r="X21" i="3"/>
  <c r="W21" i="3"/>
  <c r="V21" i="3"/>
  <c r="U21" i="3"/>
  <c r="T21" i="3"/>
  <c r="AC21" i="3"/>
  <c r="AB21" i="3"/>
  <c r="AA21" i="3"/>
  <c r="Z21" i="3"/>
  <c r="Y21" i="3"/>
  <c r="E46" i="2" l="1"/>
  <c r="E47" i="2"/>
  <c r="E45" i="2"/>
  <c r="Q19" i="4"/>
  <c r="D47" i="2" s="1"/>
  <c r="Q18" i="4"/>
  <c r="D46" i="2" s="1"/>
  <c r="Q19" i="3"/>
  <c r="C47" i="2" s="1"/>
  <c r="Q18" i="3"/>
  <c r="C46" i="2" s="1"/>
  <c r="Q17" i="4"/>
  <c r="D45" i="2" s="1"/>
  <c r="Q17" i="3"/>
  <c r="C45" i="2" s="1"/>
  <c r="E4" i="2"/>
  <c r="C51" i="2" l="1"/>
  <c r="C48" i="2"/>
  <c r="D51" i="2"/>
  <c r="D48" i="2"/>
  <c r="E6" i="2"/>
  <c r="C3" i="36" l="1" a="1"/>
  <c r="C3" i="36" s="1"/>
  <c r="B3" i="36" a="1"/>
  <c r="B3" i="36" s="1"/>
  <c r="AD23" i="4" l="1"/>
  <c r="AD27" i="3" l="1"/>
  <c r="Q27" i="3"/>
  <c r="AD27" i="4" l="1"/>
  <c r="Q27" i="4"/>
  <c r="Q24" i="4"/>
  <c r="Q35" i="35" l="1"/>
  <c r="Q36" i="35"/>
  <c r="Q34" i="35"/>
  <c r="D46" i="16" l="1"/>
  <c r="D54" i="16"/>
  <c r="D56" i="16"/>
  <c r="D55" i="16"/>
  <c r="D53" i="16"/>
  <c r="D52" i="16"/>
  <c r="D51" i="16"/>
  <c r="D50" i="16"/>
  <c r="D49" i="16"/>
  <c r="D48" i="16"/>
  <c r="D45" i="16"/>
  <c r="D44" i="16"/>
  <c r="D43" i="16"/>
  <c r="D42" i="16"/>
  <c r="D41" i="16"/>
  <c r="D40" i="16"/>
  <c r="D39" i="16"/>
  <c r="D38" i="16"/>
  <c r="D37" i="16"/>
  <c r="D36" i="16"/>
  <c r="D35" i="16"/>
  <c r="D34" i="16"/>
  <c r="D33" i="16"/>
  <c r="D32" i="16"/>
  <c r="D31" i="16"/>
  <c r="D30" i="16"/>
  <c r="D29" i="16"/>
  <c r="D28" i="16"/>
  <c r="B22" i="32" l="1"/>
  <c r="B21" i="32"/>
  <c r="B20" i="32"/>
  <c r="B15" i="32"/>
  <c r="B14" i="32"/>
  <c r="B13" i="32"/>
  <c r="O24" i="35"/>
  <c r="E11" i="2" l="1" a="1"/>
  <c r="E11" i="2" s="1"/>
  <c r="O23" i="35"/>
  <c r="R23" i="35" l="1"/>
  <c r="S23" i="35"/>
  <c r="T23" i="35"/>
  <c r="U23" i="35"/>
  <c r="V23" i="35"/>
  <c r="W23" i="35"/>
  <c r="X23" i="35"/>
  <c r="Y23" i="35"/>
  <c r="Z23" i="35"/>
  <c r="AA23" i="35"/>
  <c r="R24" i="35"/>
  <c r="S24" i="35"/>
  <c r="T24" i="35"/>
  <c r="U24" i="35"/>
  <c r="V24" i="35"/>
  <c r="W24" i="35"/>
  <c r="X24" i="35"/>
  <c r="Y24" i="35"/>
  <c r="Z24" i="35"/>
  <c r="AA24" i="35"/>
  <c r="O25" i="35"/>
  <c r="R25" i="35"/>
  <c r="S25" i="35"/>
  <c r="T25" i="35"/>
  <c r="U25" i="35"/>
  <c r="V25" i="35"/>
  <c r="W25" i="35"/>
  <c r="X25" i="35"/>
  <c r="Y25" i="35"/>
  <c r="Z25" i="35"/>
  <c r="AA25" i="35"/>
  <c r="O26" i="35"/>
  <c r="R26" i="35"/>
  <c r="S26" i="35"/>
  <c r="T26" i="35"/>
  <c r="U26" i="35"/>
  <c r="V26" i="35"/>
  <c r="W26" i="35"/>
  <c r="X26" i="35"/>
  <c r="Y26" i="35"/>
  <c r="Z26" i="35"/>
  <c r="AA26" i="35"/>
  <c r="O27" i="35"/>
  <c r="R27" i="35"/>
  <c r="S27" i="35"/>
  <c r="T27" i="35"/>
  <c r="U27" i="35"/>
  <c r="V27" i="35"/>
  <c r="W27" i="35"/>
  <c r="X27" i="35"/>
  <c r="Y27" i="35"/>
  <c r="Z27" i="35"/>
  <c r="AA27" i="35"/>
  <c r="O28" i="35"/>
  <c r="O29" i="35"/>
  <c r="O30" i="35"/>
  <c r="O31" i="35"/>
  <c r="O33" i="35"/>
  <c r="O32" i="35"/>
  <c r="E34" i="35"/>
  <c r="F34" i="35"/>
  <c r="G34" i="35"/>
  <c r="H34" i="35"/>
  <c r="I34" i="35"/>
  <c r="J34" i="35"/>
  <c r="K34" i="35"/>
  <c r="L34" i="35"/>
  <c r="M34" i="35"/>
  <c r="N34" i="35"/>
  <c r="E36" i="35"/>
  <c r="F36" i="35"/>
  <c r="G36" i="35"/>
  <c r="H36" i="35"/>
  <c r="I36" i="35"/>
  <c r="J36" i="35"/>
  <c r="K36" i="35"/>
  <c r="L36" i="35"/>
  <c r="M36" i="35"/>
  <c r="N36" i="35"/>
  <c r="E35" i="35"/>
  <c r="F35" i="35"/>
  <c r="G35" i="35"/>
  <c r="H35" i="35"/>
  <c r="I35" i="35"/>
  <c r="J35" i="35"/>
  <c r="K35" i="35"/>
  <c r="L35" i="35"/>
  <c r="M35" i="35"/>
  <c r="N35" i="35"/>
  <c r="AB27" i="35" l="1"/>
  <c r="AB26" i="35"/>
  <c r="AB25" i="35"/>
  <c r="AB23" i="35"/>
  <c r="Z36" i="35"/>
  <c r="S35" i="35"/>
  <c r="U34" i="35"/>
  <c r="T34" i="35"/>
  <c r="T35" i="35"/>
  <c r="AA35" i="35"/>
  <c r="O34" i="35"/>
  <c r="W35" i="35"/>
  <c r="V35" i="35"/>
  <c r="R34" i="35"/>
  <c r="Z35" i="35"/>
  <c r="O36" i="35"/>
  <c r="B10" i="35"/>
  <c r="Y34" i="35"/>
  <c r="AB24" i="35"/>
  <c r="B7" i="35" s="1"/>
  <c r="X34" i="35"/>
  <c r="O35" i="35"/>
  <c r="S36" i="35"/>
  <c r="R35" i="35"/>
  <c r="B9" i="35"/>
  <c r="V36" i="35"/>
  <c r="R36" i="35"/>
  <c r="U36" i="35"/>
  <c r="X36" i="35"/>
  <c r="T36" i="35"/>
  <c r="AA34" i="35"/>
  <c r="W34" i="35"/>
  <c r="S34" i="35"/>
  <c r="B8" i="35"/>
  <c r="Y36" i="35"/>
  <c r="Y35" i="35"/>
  <c r="U35" i="35"/>
  <c r="X35" i="35"/>
  <c r="AA36" i="35"/>
  <c r="W36" i="35"/>
  <c r="Z34" i="35"/>
  <c r="Z21" i="35" s="1"/>
  <c r="V34" i="35"/>
  <c r="K25" i="32" l="1"/>
  <c r="U21" i="35"/>
  <c r="AB36" i="35"/>
  <c r="AB35" i="35"/>
  <c r="R21" i="35"/>
  <c r="AB34" i="35"/>
  <c r="B11" i="35" s="1"/>
  <c r="V21" i="35"/>
  <c r="X21" i="35"/>
  <c r="S21" i="35"/>
  <c r="W21" i="35"/>
  <c r="Y21" i="35"/>
  <c r="T21" i="35"/>
  <c r="AA21" i="35"/>
  <c r="B6" i="35"/>
  <c r="B13" i="35"/>
  <c r="AB21" i="35" l="1"/>
  <c r="B12" i="35"/>
  <c r="B14" i="35" s="1"/>
  <c r="D14" i="35" s="1"/>
  <c r="J25" i="32"/>
  <c r="H25" i="32"/>
  <c r="L25" i="32"/>
  <c r="E25" i="32"/>
  <c r="C25" i="32"/>
  <c r="D25" i="32"/>
  <c r="F25" i="32"/>
  <c r="I25" i="32"/>
  <c r="G25" i="32"/>
  <c r="Q36" i="4"/>
  <c r="Q37" i="4"/>
  <c r="Q35" i="4"/>
  <c r="Q32" i="4"/>
  <c r="Q33" i="4"/>
  <c r="Q31" i="4"/>
  <c r="Q28" i="4"/>
  <c r="Q29" i="4"/>
  <c r="AD37" i="4"/>
  <c r="AD36" i="4"/>
  <c r="AD35" i="4"/>
  <c r="B9" i="4" s="1"/>
  <c r="AD33" i="4"/>
  <c r="AD32" i="4"/>
  <c r="AD31" i="4"/>
  <c r="B8" i="4" s="1"/>
  <c r="AD29" i="4"/>
  <c r="AD28" i="4"/>
  <c r="AD32" i="3"/>
  <c r="AD33" i="3"/>
  <c r="AD28" i="3"/>
  <c r="B7" i="3" s="1"/>
  <c r="AD29" i="3"/>
  <c r="AD31" i="3"/>
  <c r="B8" i="3" s="1"/>
  <c r="AD24" i="3"/>
  <c r="AD25" i="3"/>
  <c r="AD23" i="3"/>
  <c r="B7" i="4" l="1"/>
  <c r="C35" i="2" s="1"/>
  <c r="AD21" i="3"/>
  <c r="B6" i="3"/>
  <c r="B9" i="3" s="1"/>
  <c r="D9" i="3" s="1"/>
  <c r="B25" i="32"/>
  <c r="G20" i="2" s="1"/>
  <c r="C39" i="2" s="1"/>
  <c r="D39" i="2" s="1"/>
  <c r="B37" i="2"/>
  <c r="C37" i="2"/>
  <c r="C36" i="2"/>
  <c r="D36" i="2" s="1"/>
  <c r="B35" i="2"/>
  <c r="D35" i="2" l="1"/>
  <c r="B34" i="2"/>
  <c r="B38" i="2" s="1"/>
  <c r="D37" i="2"/>
  <c r="D12" i="32"/>
  <c r="E12" i="32"/>
  <c r="F12" i="32"/>
  <c r="G12" i="32"/>
  <c r="H12" i="32"/>
  <c r="I12" i="32"/>
  <c r="J12" i="32"/>
  <c r="K12" i="32"/>
  <c r="L12" i="32"/>
  <c r="C12" i="32"/>
  <c r="Q32" i="3"/>
  <c r="Q33" i="3"/>
  <c r="Q31" i="3"/>
  <c r="Q28" i="3"/>
  <c r="Q29" i="3"/>
  <c r="Q24" i="3"/>
  <c r="Q25" i="3"/>
  <c r="Q23" i="3"/>
  <c r="B40" i="2" l="1"/>
  <c r="D16" i="32"/>
  <c r="C16" i="32"/>
  <c r="H16" i="32"/>
  <c r="E16" i="32"/>
  <c r="G16" i="32"/>
  <c r="F16" i="32"/>
  <c r="J16" i="32"/>
  <c r="I16" i="32"/>
  <c r="L16" i="32"/>
  <c r="K16" i="32"/>
  <c r="B12" i="32"/>
  <c r="B16" i="32" l="1"/>
  <c r="N16" i="32" s="1"/>
  <c r="C20" i="2" l="1"/>
  <c r="E27" i="2" s="1"/>
  <c r="Q25" i="4" l="1"/>
  <c r="AD25" i="4"/>
  <c r="C19" i="32"/>
  <c r="D19" i="32"/>
  <c r="E19" i="32"/>
  <c r="F19" i="32"/>
  <c r="G19" i="32"/>
  <c r="H19" i="32"/>
  <c r="I19" i="32"/>
  <c r="J19" i="32"/>
  <c r="K19" i="32"/>
  <c r="L19" i="32"/>
  <c r="Q23" i="4"/>
  <c r="AD24" i="4"/>
  <c r="AD21" i="4" l="1"/>
  <c r="B6" i="4"/>
  <c r="C34" i="2" s="1"/>
  <c r="B10" i="4" l="1"/>
  <c r="D10" i="4" s="1"/>
  <c r="C38" i="2"/>
  <c r="D34" i="2"/>
  <c r="B19" i="32"/>
  <c r="F23" i="32"/>
  <c r="G23" i="32"/>
  <c r="H23" i="32"/>
  <c r="I23" i="32"/>
  <c r="J23" i="32"/>
  <c r="K23" i="32"/>
  <c r="K29" i="32" s="1"/>
  <c r="K30" i="32" s="1"/>
  <c r="L23" i="32"/>
  <c r="L29" i="32" s="1"/>
  <c r="L30" i="32" s="1"/>
  <c r="C23" i="32"/>
  <c r="D23" i="32"/>
  <c r="E23" i="32"/>
  <c r="C40" i="2" l="1"/>
  <c r="D40" i="2" s="1"/>
  <c r="D38" i="2"/>
  <c r="J29" i="32"/>
  <c r="J30" i="32" s="1"/>
  <c r="H29" i="32"/>
  <c r="H30" i="32" s="1"/>
  <c r="F29" i="32"/>
  <c r="F30" i="32" s="1"/>
  <c r="I29" i="32"/>
  <c r="I30" i="32" s="1"/>
  <c r="E29" i="32"/>
  <c r="E30" i="32" s="1"/>
  <c r="G29" i="32"/>
  <c r="G30" i="32" s="1"/>
  <c r="D29" i="32"/>
  <c r="D30" i="32" s="1"/>
  <c r="C29" i="32"/>
  <c r="C30" i="32" s="1"/>
  <c r="B23" i="32"/>
  <c r="N23" i="32" s="1"/>
  <c r="B29" i="32" l="1"/>
  <c r="E20" i="2"/>
  <c r="B30" i="32" l="1"/>
  <c r="A20" i="2"/>
  <c r="N29" i="32" l="1"/>
  <c r="C27" i="2"/>
  <c r="A27" i="2" s="1"/>
  <c r="G27" i="2"/>
  <c r="N30" i="3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<sst xmlns="http://schemas.openxmlformats.org/spreadsheetml/2006/main" count="1881" uniqueCount="728">
  <si>
    <t>Introduction to the calculation tool</t>
  </si>
  <si>
    <t>Using the spreadsheet</t>
  </si>
  <si>
    <t>The cells are color-coded to guide the user. Captions are on the sheets where data entry is required.</t>
  </si>
  <si>
    <t>Colour code</t>
  </si>
  <si>
    <t>Enter data</t>
  </si>
  <si>
    <t>Calculated data</t>
  </si>
  <si>
    <t>Select an option</t>
  </si>
  <si>
    <t>Please provide additional information</t>
  </si>
  <si>
    <t>No data entry required</t>
  </si>
  <si>
    <t>Structure</t>
  </si>
  <si>
    <t>The spreadsheet is divided into tabs according to its contents and purposes</t>
  </si>
  <si>
    <t>Summary</t>
  </si>
  <si>
    <t>Summary per year</t>
  </si>
  <si>
    <t>Reference emissions</t>
  </si>
  <si>
    <t>Project emissions</t>
  </si>
  <si>
    <t>Process diagram</t>
  </si>
  <si>
    <t>Illustrates the inputs and outputs in both “project” and “reference” scenarios.</t>
  </si>
  <si>
    <t/>
  </si>
  <si>
    <t>Assumptions</t>
  </si>
  <si>
    <t>Contains all the qualitative and quantitative assumptions adopted by the applicant in support of their submission.</t>
  </si>
  <si>
    <t>Definitions</t>
  </si>
  <si>
    <r>
      <t>Ref</t>
    </r>
    <r>
      <rPr>
        <vertAlign val="subscript"/>
        <sz val="11"/>
        <color rgb="FF000000"/>
        <rFont val="Arial"/>
        <family val="2"/>
      </rPr>
      <t>inputs</t>
    </r>
  </si>
  <si>
    <r>
      <t>Ref</t>
    </r>
    <r>
      <rPr>
        <vertAlign val="subscript"/>
        <sz val="11"/>
        <color rgb="FF000000"/>
        <rFont val="Arial"/>
        <family val="2"/>
      </rPr>
      <t>processes</t>
    </r>
  </si>
  <si>
    <r>
      <t>Ref</t>
    </r>
    <r>
      <rPr>
        <vertAlign val="subscript"/>
        <sz val="11"/>
        <color rgb="FF000000"/>
        <rFont val="Arial"/>
        <family val="2"/>
      </rPr>
      <t>EoL</t>
    </r>
  </si>
  <si>
    <r>
      <t>Proj</t>
    </r>
    <r>
      <rPr>
        <vertAlign val="subscript"/>
        <sz val="11"/>
        <color rgb="FF000000"/>
        <rFont val="Arial"/>
        <family val="2"/>
      </rPr>
      <t>inputs</t>
    </r>
  </si>
  <si>
    <t xml:space="preserve">Emissions in the project scenario associated with the use of inputs produced outside the project boundary. </t>
  </si>
  <si>
    <r>
      <t>Proj</t>
    </r>
    <r>
      <rPr>
        <vertAlign val="subscript"/>
        <sz val="11"/>
        <color rgb="FF000000"/>
        <rFont val="Arial"/>
        <family val="2"/>
      </rPr>
      <t>processes</t>
    </r>
  </si>
  <si>
    <r>
      <t>Proj</t>
    </r>
    <r>
      <rPr>
        <vertAlign val="subscript"/>
        <sz val="11"/>
        <color rgb="FF000000"/>
        <rFont val="Arial"/>
        <family val="2"/>
      </rPr>
      <t>changeuse</t>
    </r>
  </si>
  <si>
    <r>
      <t>Proj</t>
    </r>
    <r>
      <rPr>
        <vertAlign val="subscript"/>
        <sz val="11"/>
        <color rgb="FF000000"/>
        <rFont val="Arial"/>
        <family val="2"/>
      </rPr>
      <t>EoL</t>
    </r>
  </si>
  <si>
    <t>EII Sectors and Products</t>
  </si>
  <si>
    <t>Sector</t>
  </si>
  <si>
    <t>Products</t>
  </si>
  <si>
    <t>Refineries</t>
  </si>
  <si>
    <t>Iron &amp; Steel</t>
  </si>
  <si>
    <t>Coke</t>
  </si>
  <si>
    <t>Iron ore</t>
  </si>
  <si>
    <t>Iron</t>
  </si>
  <si>
    <t>Steel</t>
  </si>
  <si>
    <t>Cast ferrous metals products</t>
  </si>
  <si>
    <t>Other ferrous metal products or substitute products</t>
  </si>
  <si>
    <t>Non-ferrous metals</t>
  </si>
  <si>
    <t>Aluminium</t>
  </si>
  <si>
    <t>Precious metals</t>
  </si>
  <si>
    <t>Copper</t>
  </si>
  <si>
    <t>Other non-ferrous metal</t>
  </si>
  <si>
    <t>Cast non-ferrous metal products</t>
  </si>
  <si>
    <t>Cement &amp; Lime</t>
  </si>
  <si>
    <t>Cement</t>
  </si>
  <si>
    <t>Other cement or lime products or substitute products</t>
  </si>
  <si>
    <t>Glass, ceramics &amp; construction material</t>
  </si>
  <si>
    <t>Flat glass</t>
  </si>
  <si>
    <t>Container glass</t>
  </si>
  <si>
    <t>Glass fibres</t>
  </si>
  <si>
    <t>Other glass products</t>
  </si>
  <si>
    <t>Tiles, plates, refractory products</t>
  </si>
  <si>
    <t>Bricks</t>
  </si>
  <si>
    <t>Houseware, sanitary ware</t>
  </si>
  <si>
    <t>Other ceramic products</t>
  </si>
  <si>
    <t>Mineral wool</t>
  </si>
  <si>
    <t>Gypsum and gypsum products</t>
  </si>
  <si>
    <t>Other construction materials or substitute products</t>
  </si>
  <si>
    <t>Pulp &amp; paper</t>
  </si>
  <si>
    <t>Chemical pulp</t>
  </si>
  <si>
    <t>Mechanical pulp</t>
  </si>
  <si>
    <t>Paper and paperboard</t>
  </si>
  <si>
    <t>Sanitary and tissue paper</t>
  </si>
  <si>
    <t>Other paper products or substitute products</t>
  </si>
  <si>
    <t>Chemicals</t>
  </si>
  <si>
    <t>Organic basic chemicals</t>
  </si>
  <si>
    <t>Inorganic basic chemicals</t>
  </si>
  <si>
    <t>Nitrogen compounds</t>
  </si>
  <si>
    <t>Plastics in primary forms</t>
  </si>
  <si>
    <t>Synthetic rubber</t>
  </si>
  <si>
    <t xml:space="preserve">Other chemical products or substitute products (incl. bio-based products) </t>
  </si>
  <si>
    <t>Hydrogen</t>
  </si>
  <si>
    <t>Other</t>
  </si>
  <si>
    <t>General information</t>
  </si>
  <si>
    <t>Comment</t>
  </si>
  <si>
    <t>Absolute GHG Emissions Avoidance</t>
  </si>
  <si>
    <t>Net absolute GHG emissions avoided due to operation of the project during the first 10 years of operation, in tCO2e.</t>
  </si>
  <si>
    <t>=</t>
  </si>
  <si>
    <t>-</t>
  </si>
  <si>
    <r>
      <t>∆GHG</t>
    </r>
    <r>
      <rPr>
        <vertAlign val="subscript"/>
        <sz val="11"/>
        <color rgb="FF000000"/>
        <rFont val="Arial"/>
        <family val="2"/>
      </rPr>
      <t>abs</t>
    </r>
  </si>
  <si>
    <t>Ref</t>
  </si>
  <si>
    <t>Proj</t>
  </si>
  <si>
    <t>Relative GHG Emissions Avoidance</t>
  </si>
  <si>
    <t>Relative GHG emissions avoided due to operation of the project during the first 10 years of operation, in percent.</t>
  </si>
  <si>
    <t>÷</t>
  </si>
  <si>
    <r>
      <t>∆GHG</t>
    </r>
    <r>
      <rPr>
        <vertAlign val="subscript"/>
        <sz val="11"/>
        <color rgb="FF000000"/>
        <rFont val="Arial"/>
        <family val="2"/>
      </rPr>
      <t>rel</t>
    </r>
  </si>
  <si>
    <t>Step</t>
  </si>
  <si>
    <r>
      <t>tCO</t>
    </r>
    <r>
      <rPr>
        <vertAlign val="subscript"/>
        <sz val="11"/>
        <color rgb="FFFFFFFF"/>
        <rFont val="Arial"/>
        <family val="2"/>
      </rPr>
      <t>2</t>
    </r>
    <r>
      <rPr>
        <sz val="11"/>
        <color rgb="FFFFFFFF"/>
        <rFont val="Arial"/>
        <family val="2"/>
      </rPr>
      <t>e</t>
    </r>
  </si>
  <si>
    <t>Input</t>
  </si>
  <si>
    <t>Process</t>
  </si>
  <si>
    <t>Combustion</t>
  </si>
  <si>
    <t>Change to in-use</t>
  </si>
  <si>
    <t>End-of-life</t>
  </si>
  <si>
    <t>Total</t>
  </si>
  <si>
    <t>Description</t>
  </si>
  <si>
    <t>Value</t>
  </si>
  <si>
    <t>Data unit</t>
  </si>
  <si>
    <t>Absolute GHG emission avoidance</t>
  </si>
  <si>
    <t>Relative GHG emission avoidance</t>
  </si>
  <si>
    <t> </t>
  </si>
  <si>
    <t>The relative GHG emission avoidance is expressed in percent.</t>
  </si>
  <si>
    <t>TOT</t>
  </si>
  <si>
    <t>Year 1</t>
  </si>
  <si>
    <t>Year 2</t>
  </si>
  <si>
    <t>Year 3</t>
  </si>
  <si>
    <t>Year 4</t>
  </si>
  <si>
    <t>Year 5</t>
  </si>
  <si>
    <t>Year 6</t>
  </si>
  <si>
    <t>Year 7</t>
  </si>
  <si>
    <t>Year 8</t>
  </si>
  <si>
    <t>Year 9</t>
  </si>
  <si>
    <t>Year 10</t>
  </si>
  <si>
    <t xml:space="preserve">This summary table uses the sumif function to add emissions from rows with each label. This requires the row labels below to exactly match the row labels used here. </t>
  </si>
  <si>
    <t xml:space="preserve">If adding, removing or moving rows applicants should check that the total emissions for each label are still correctly summed. </t>
  </si>
  <si>
    <t>Row Labels</t>
  </si>
  <si>
    <t>Sum of t CO2e</t>
  </si>
  <si>
    <r>
      <t>Ref</t>
    </r>
    <r>
      <rPr>
        <vertAlign val="subscript"/>
        <sz val="11"/>
        <color theme="1"/>
        <rFont val="Arial"/>
        <family val="2"/>
      </rPr>
      <t>inputs</t>
    </r>
  </si>
  <si>
    <r>
      <t>Ref</t>
    </r>
    <r>
      <rPr>
        <vertAlign val="subscript"/>
        <sz val="11"/>
        <color theme="1"/>
        <rFont val="Arial"/>
        <family val="2"/>
      </rPr>
      <t>processes</t>
    </r>
  </si>
  <si>
    <r>
      <t>Ref</t>
    </r>
    <r>
      <rPr>
        <vertAlign val="subscript"/>
        <sz val="11"/>
        <color theme="1"/>
        <rFont val="Arial"/>
        <family val="2"/>
      </rPr>
      <t>EoL</t>
    </r>
  </si>
  <si>
    <t>Grand Total</t>
  </si>
  <si>
    <t>Reference emissions calculation</t>
  </si>
  <si>
    <t>Plant / Unit</t>
  </si>
  <si>
    <t>Description of parameter</t>
  </si>
  <si>
    <t>Type of data</t>
  </si>
  <si>
    <t>t CO2e / [unit]</t>
  </si>
  <si>
    <t>t CO2e</t>
  </si>
  <si>
    <t>Monitoring frequency</t>
  </si>
  <si>
    <t>QA/QC Procedures</t>
  </si>
  <si>
    <t xml:space="preserve">Additional description of the monitoring system </t>
  </si>
  <si>
    <t>Reliability</t>
  </si>
  <si>
    <t>Total reference emissions per year</t>
  </si>
  <si>
    <r>
      <t>Ref</t>
    </r>
    <r>
      <rPr>
        <vertAlign val="subscript"/>
        <sz val="11"/>
        <color rgb="FF000000"/>
        <rFont val="Arial"/>
        <family val="2"/>
      </rPr>
      <t>year</t>
    </r>
  </si>
  <si>
    <t>[Link to the appropriate conversion factors from tab "Ref Conversion Factors"]</t>
  </si>
  <si>
    <r>
      <t>Proj</t>
    </r>
    <r>
      <rPr>
        <vertAlign val="subscript"/>
        <sz val="11"/>
        <color theme="1"/>
        <rFont val="Arial"/>
        <family val="2"/>
      </rPr>
      <t>inputs</t>
    </r>
  </si>
  <si>
    <r>
      <t>Proj</t>
    </r>
    <r>
      <rPr>
        <vertAlign val="subscript"/>
        <sz val="11"/>
        <color theme="1"/>
        <rFont val="Arial"/>
        <family val="2"/>
      </rPr>
      <t>processes</t>
    </r>
  </si>
  <si>
    <r>
      <t>Proj</t>
    </r>
    <r>
      <rPr>
        <vertAlign val="subscript"/>
        <sz val="11"/>
        <color theme="1"/>
        <rFont val="Arial"/>
        <family val="2"/>
      </rPr>
      <t>EoL</t>
    </r>
  </si>
  <si>
    <r>
      <t>Proj</t>
    </r>
    <r>
      <rPr>
        <vertAlign val="subscript"/>
        <sz val="11"/>
        <color theme="1"/>
        <rFont val="Arial"/>
        <family val="2"/>
      </rPr>
      <t>changeuse</t>
    </r>
  </si>
  <si>
    <t>Project emissions calculation</t>
  </si>
  <si>
    <t>Total project emissions per year</t>
  </si>
  <si>
    <r>
      <t>Proj</t>
    </r>
    <r>
      <rPr>
        <vertAlign val="subscript"/>
        <sz val="11"/>
        <color rgb="FF000000"/>
        <rFont val="Arial"/>
        <family val="2"/>
      </rPr>
      <t>year</t>
    </r>
  </si>
  <si>
    <t>[Link to the appropriate conversion factor from tab "Proj Conversion Factors"]</t>
  </si>
  <si>
    <t>Please insert:</t>
  </si>
  <si>
    <t>Fuel / Feedstock / Product</t>
  </si>
  <si>
    <t>Source of data</t>
  </si>
  <si>
    <t>ETS Product benchmarks</t>
  </si>
  <si>
    <t>Coke-oven coke (obtained from the carbonisation of coking coal, at high temperature) or gas-works coke (by-product of gas-works plants) expressed as tons of dry coke. Lignite coke is not covered by this benchmark</t>
  </si>
  <si>
    <t>Commission Implementing Regulation (EU) 2021/447 of 12 March 2021 determining revised benchmark values for free allocation of emission allowances for the period from 2021 to 2025 pursuant to Article 10a(2) of Directive 2003/87/EC of the European Parliament and of the Council.</t>
  </si>
  <si>
    <t>All processes directly or indirectly linked to the process units coke ovens, H2S/NH3 incineration, coal preheating (defreezing), coke gas extractor, desulphurisation unit, distillation unit, steam generation plant, pressure control in batteries, biological water treatment, miscellaneous heating of by-products and hydrogen separator are included. Coke oven gas cleaning is included</t>
  </si>
  <si>
    <t>Agglomerated iron-bearing product containing iron ore fines, fluxes and ironcontaining recycling materials with the chemical and physical properties such as the level of basicity, mechanical strength and permeability required to deliver iron and necessary flux materials into iron ore reduction processes</t>
  </si>
  <si>
    <t>Sintered ore</t>
  </si>
  <si>
    <t>All processes directly or indirectly linked to the process units sinter strand, ignition, feedstock preparation units, hot screening unit, sinter cooling unit, cold screening unit and steam generation unit are included</t>
  </si>
  <si>
    <t>Liquid iron saturated with carbon for further processing</t>
  </si>
  <si>
    <t>Hot metal</t>
  </si>
  <si>
    <t>All processes directly or indirectly linked to the process units blast furnace, hot metal treatment units, blast furnace blowers, blast furnace hot stoves, basic oxygen furnace, secondary metallurgy units, vacuum ladles, casting units (including cutting), slag treatment unit, burden preparation, BF gas treatment unit, dedusting units, scrap pre-heating, coal drying for PCI, vessels preheating stands, casting ingots preheating stands, compressed air production, dust treatment unit (briquetting), sludge treatment unit (briquetting), steam injection in BF unit, steam generation plant, converter BOF gas cooling and miscellaneous are included</t>
  </si>
  <si>
    <t>Anodes for aluminium electrolysis use consisting of petrol coke, pitch and normally recycled anodes, which are formed to shape specifically intended for a particular smelter and baked in anode baking ovens to a temperature of around 1 150 °C</t>
  </si>
  <si>
    <t>Pre-bake anode</t>
  </si>
  <si>
    <t>All processes directly or indirectly linked to the production of pre-bake anodes are included</t>
  </si>
  <si>
    <t>All processes directly or indirectly linked to the production step electrolysis are included</t>
  </si>
  <si>
    <t>Grey cement clinker as total clinker produced</t>
  </si>
  <si>
    <t>Grey cement clinker</t>
  </si>
  <si>
    <t>All processes directly or indirectly linked to the production of grey cement clinker are included</t>
  </si>
  <si>
    <t>White cement clinker for use as main binding component in the formulation of materials such as joint filers, ceramic tile adhesives, insulation, and anchorage mortars, industrial floor mortars, ready mixed plaster, repair mortars, and water-tight coatings with maximum average contents of 0,4 mass-% Fe2O3, 0,003 mass-% Cr2O3 and 0,03 mass-% Mn2O3</t>
  </si>
  <si>
    <t>White cement clinker</t>
  </si>
  <si>
    <t>All processes directly or indirectly linked to the production of white cement clinker are included</t>
  </si>
  <si>
    <t>Quicklime: calcium oxide (CaO) produced by the decarbonation of limestone (CaCO3) as ‘standard pure’ lime with a free CaO content of 94,5 %. Lime produced and consumed in the same installation for purification processes is not covered by this product benchmark</t>
  </si>
  <si>
    <t>Lime</t>
  </si>
  <si>
    <t>All processes directly or indirectly linked to the production of lime are included</t>
  </si>
  <si>
    <t>Dolime</t>
  </si>
  <si>
    <t>All processes directly or indirectly linked to the production of dolime are included</t>
  </si>
  <si>
    <t>Mixture of calcium and magnesium oxides used solely for the production of refractory bricks and other refractory products with a minimum bulk density of 3,05 g/cm3</t>
  </si>
  <si>
    <t>Sintered dolime</t>
  </si>
  <si>
    <t>All processes directly or indirectly linked to the production of sintered dolime are included</t>
  </si>
  <si>
    <t>Float/ground/polish glass (as tons of glass exiting the lehr)</t>
  </si>
  <si>
    <t>Float glass</t>
  </si>
  <si>
    <t>All processes directly or indirectly linked to the production steps melter, refiner, working end, bath and lehr are included</t>
  </si>
  <si>
    <t>Bottles of colourless glass of a nominal capacity &lt; 2,5 litres, for beverages and foodstuffs (excluding bottles covered with leather or composition leather; infant’s feeding bottles) except extra-white flint products with an iron oxide content expressed as percent Fe2O3 by weight lower than 0,03 % and colour coordinates of L in the range 100 to 87, of a in the range 0 to – 5 and of b in the range 0 to 3 (using the CIELAB advocated by the Commission internationale d’éclairage) expressed as tons of packed product</t>
  </si>
  <si>
    <t>Bottles and jars of colourless glass</t>
  </si>
  <si>
    <t>All processes directly or indirectly linked to the production steps materials handling, melting, forming, downstream processing, packaging and ancillary processes are included</t>
  </si>
  <si>
    <t>Bottles of coloured glass of a nominal capacity &lt; 2,5 litres, for beverages and foodstuffs (excluding bottles covered with leather or composition leather; infant’s feeding bottles) expressed as tons of packed product</t>
  </si>
  <si>
    <t>Bottles and jars of coloured glass</t>
  </si>
  <si>
    <t>Melted glass for the production of continuous filament glass fibre products namely chopped strands, rovings, yarns and staple glass fibre and mats (expressed as tons of melted glass exiting the foreheath). Mineral wool products for thermal, acoustic and fire insulation are not included</t>
  </si>
  <si>
    <t>Continuous filament glass fibre products</t>
  </si>
  <si>
    <t>All processes directly or indirectly linked to the production processes glass melting in the furnaces and glass refining in the foreheaths are included. Downstream processes to convert the fibres into sellable products are not included in this product benchmark</t>
  </si>
  <si>
    <t>Facing bricks with a density &gt; 1 000 kg/m3 used for masonry based on EN 771-1, excluding pavers, clinker bricks and blue braised facing bricks</t>
  </si>
  <si>
    <t>Facing bricks</t>
  </si>
  <si>
    <t>All processes directly or indirectly linked to the production processes raw material preparation, component mixing, forming and shaping of ware, drying of ware, firing of ware, product finishing and flue gas cleaning are included</t>
  </si>
  <si>
    <t>Clay bricks used for flooring according to EN 1344</t>
  </si>
  <si>
    <t>Pavers</t>
  </si>
  <si>
    <t>Clay roofing tiles as defined in EN 1304:2005 excluding blue braised roof tiles and accessories</t>
  </si>
  <si>
    <t>Roof tiles</t>
  </si>
  <si>
    <t>Spray-dried powder for the production of dry-pressed wall and floor tiles in tonnes of powder produced</t>
  </si>
  <si>
    <t>Spray-dried powder</t>
  </si>
  <si>
    <t>All processes directly or indirectly linked to the production of spray-dried powder are included</t>
  </si>
  <si>
    <t>Plasters consisting of calcined gypsum or calcium sulphate (including for use in building, for use in dressing woven fabrics or surfacing paper, for use in dentistry, for use in land remediation), in tonnes of stucco. Alpha plaster is not covered by this product benchmark</t>
  </si>
  <si>
    <t>Plaster</t>
  </si>
  <si>
    <t>All processes directly or indirectly linked to the production steps milling, drying and calcining are included</t>
  </si>
  <si>
    <t>Dried secondary gypsum (synthetic gypsum produced as a recycled by-product of the power industry or recycled material from construction waste and demolition) expressed as tons of product</t>
  </si>
  <si>
    <t>Dried secondary gypsum</t>
  </si>
  <si>
    <t>All processes directly or indirectly linked to the drying of secondary gypsum are included</t>
  </si>
  <si>
    <t>Short fibre kraft pulp is a wood pulp produced by the sulphate chemical process using cooking liquor, characterised by fibre lengths of 1-1,5 mm, which is mainly used for products which require specific smoothness and bulk, as tissue and printing paper, expressed as net saleable production in Adt (Air Dried Tonnes)</t>
  </si>
  <si>
    <t>Short fibre kraft pulp</t>
  </si>
  <si>
    <t>All processes which are part of the pulp production process (in particular the pulp mill, recovery boiler, pulp drying section and lime kiln and connected energy conversion units (boiler/CHP)) are included. Other activities on site that are not part of this process such as sawmilling activities, woodworking activities, production of chemicals for sale, waste treatment (treating waste onsite instead of offsite (drying, pelletising, incinerating, landfilling), PCC (precipitated calcium carbonate) production, treatment of odorous gases, and district heating are not included</t>
  </si>
  <si>
    <t>Long fibre kraft pulp is a wood pulp produced by the sulphate chemical process using cooking liquor, characterised by fibre lengths of 3-3,5 mm, which is mainly used for products for which strength is important, as packaging paper, expressed as net saleable production in Adt (Air Dried Tonnes)</t>
  </si>
  <si>
    <t>Long fibre kraft pulp</t>
  </si>
  <si>
    <t>All processes which are part of the pulp production process (in particular the pulp mill, recovery boiler, pulp drying section and lime kiln and connected energy conversion units (boiler/CHP)) are included. Other activities on site that are not part of this process such as sawmilling activities, woodworking activities, production of chemicals for sale, waste treatment (treating waste onsite instead of offsite (drying, pelletising, incinerating, landfilling), PCC (precipitated calcium carbonate) production, treatment of odorous gases, and district heating are not included (precipitated calcium carbonate) production, treatment of odorous gases, and district heating are not included</t>
  </si>
  <si>
    <t>Sulphite pulp produced by a specific pulp making process, e.g. pulp produced by cooking wood chips in a pressure vessel in the presence of bisulphite liquor expressed as net saleable production in Adt. Sulphite pulp can be either bleached or unbleached. Mechanical pulp grades: TMP (thermomechanical pulp) and groundwood as net saleable production in Adt. Mechanical pulp can be either bleached or unbleached. Not covered by this group are the smaller subgroups of semichemical pulp CTMP — chemithermomechanical pulp and dissolving pulp</t>
  </si>
  <si>
    <t>Sulphite pulp, thermomechanical and mechanical pulp</t>
  </si>
  <si>
    <t>Pulps of fibres derived from recovered (waste and scrap) paper or paperboard or of other fibrous cellulosic material expressed as net saleable production in Adt</t>
  </si>
  <si>
    <t>Recovered paper pulp</t>
  </si>
  <si>
    <t>All processes which are part of the production of pulp from recovered paper and connected energy conversion units (boiler/CHP)) are included. Other activities on site that are not part of this process such as sawmilling activities, woodworking activities, production of chemicals for sale, waste treatment (treating waste onsite instead of offsite (drying, pelletising, incinerating, landfilling), PCC (precipitated calcium carbonate) production, treatment of odorous gases, and district heating are not included</t>
  </si>
  <si>
    <t>Specific paper grade (in rolls or sheets) expressed as net saleable production in Adt used for printing newspapers produced from groundwood and/or mechanical pulp or recycled fibres or any percentage of combinations of these two. Weights usually range from 40 to 52 g/m2 but can be as high as 65 g/m2. Newsprint is machine-finished or slightly calendered, white or slightly coloured and is used in reels for letterpress, offset or flexoprinting</t>
  </si>
  <si>
    <t>Newsprint</t>
  </si>
  <si>
    <t>All processes which are part of the paper production process (in particular paper or board machine and connected energy conversion units (boiler/CHP) and direct process fuel use) are included. Other activities on site that are not part of this process such as sawmilling activities, woodworking activities, production of chemicals for sale, waste treatment (treating waste onsite instead of offsite (drying, pelletising, incinerating, landfilling), PCC (precipitated calcium carbonate) production, treatment of odorous gases, and district heating are not included</t>
  </si>
  <si>
    <t>Uncoated fine paper, covering both uncoated mechanical and uncoated woodfree expressed as net saleable production in Adt: 1. Uncoated woodfree papers suitable for printing or other graphic purposes made from a variety of mainly virgin fibre furnishes, with variable levels of mineral filler and a range of finishing processes. This grade includes most office papers, such as business forms, copier, computer, stationery and book papers. 2. Uncoated mechanical papers cover the specific paper grades made from mechanical pulp, used for packaging or graphic purposes/magazines</t>
  </si>
  <si>
    <t>Uncoated fine paper</t>
  </si>
  <si>
    <t>Coated fine paper covering both coated mechanical and coated woodfree papers expressed as net saleable production in Adt: 1. Coated woodfree papers made of fibres produced mainly by a chemical pulping process which are coated in process for different applications and are also known as coated freesheet. This group focuses mainly on publication papers. 2. Coated mechanical papers made from mechanical pulp, used for graphic purposes/magazines. The group is also known as coated groundwood</t>
  </si>
  <si>
    <t>Coated fine paper</t>
  </si>
  <si>
    <t>All processes which are part of the paper production process (in particular paper or board machine and connected energy conversion units (boiler/CHP) and direct process fuel use) are included. Other activities on site that are not part of this process such as sawmilling activities, woodworking activities, production of chemicals for sale, waste treatment (treating waste onsite instead of offsite (drying, pelletising, incinerating, landfilling), PCC</t>
  </si>
  <si>
    <t>Tissue papers expressed as net saleable production of parent reel cover a wide range of tissue and other hygienic papers for use in households or commercial and industrial premises such as toilet paper and facial tissues, kitchen towels, hand towels and industrial wipes, the manufacture of baby nappies, sanitary towels, etc. TAD — Through Air Dried Tissue is not part of this group</t>
  </si>
  <si>
    <t>Tissue</t>
  </si>
  <si>
    <t>All processes which are part of the paper production process (in particular paper or board machine and connected energy conversion units (boiler/CHP) and direct process fuel use) are included. Other activities on site that are not part of this process such as sawmilling activities, woodworking activities, production of chemicals for sale, waste treatment (treating waste onsite instead of offsite (drying, pelletising, incinerating, landfilling), PCC (precipitated calcium carbonate) production, treatment of odorous gases, and district heating are not included. The conversion of parent reel weight to finished products is not part of this product benchmark</t>
  </si>
  <si>
    <t>Testliner and fluting expressed as net saleable production in Adt: 1. Testliner covers types of paperboard that meet specific tests adopted by the packaging industry to qualify for use as the outer facing layer for corrugated board, from which shipping containers are made. Testliner is made primarily from fibres obtained from recycled fibres. 2. Fluting refers to the centre segment of corrugated shipping containers, being faced with linerboard (testliner/kraftliner) on both sides. Fluting covers mainly papers made from recycled fibre but this group also holds paperboard that is made from chemical and semi-chemical pulp</t>
  </si>
  <si>
    <t>Testliner and fluting</t>
  </si>
  <si>
    <t>This benchmark covers a wide range of uncoated products (expressed as net saleable production in Adt) which may be single or multiply. Uncoated carton board is mainly used for packaging applications which the main needed characteristic is strength and stiffness, and for which the commercial aspects as information carrier are of a second order of importance. Carton board is made from virgin and/or recovered fibres, has good folding properties, stiffness and scoring ability. It is mainly used in cartons for consumer products such as frozen food, cosmetics and for liquid containers; also known as solid board, folding box board, boxboard or carrier board or core board</t>
  </si>
  <si>
    <t>Uncoated carton board</t>
  </si>
  <si>
    <t>This benchmark covers a wide range of coated products (expressed as net saleable production in Adt) which may be single or multiply. Coated carton board is mainly used for commercial applications that need to bring commercial information printed on the packaging to the shelf in the store in applications such as food, pharma, cosmetics, and other. Carton board is made from virgin and/or recovered fibres, and has good folding properties, stiffness and scoring ability. It is mainly used in cartons for consumer products such as frozen food, cosmetics and for liquid containers; also known as solid board, folding box board, boxboard or carrier board or core board</t>
  </si>
  <si>
    <t>Coated carton board</t>
  </si>
  <si>
    <t>Nitric acid (HNO3), to be recorded in tons HNO3 (100 %)</t>
  </si>
  <si>
    <t>Nitric acid</t>
  </si>
  <si>
    <t>All processes directly or indirectly linked to the production of the benchmarked product as well as the N2O destruction process are included except the production of ammonia</t>
  </si>
  <si>
    <t>Adipic acid to be recorded in tons of dry purified adipic acid stored in silos or packed in (big)bag</t>
  </si>
  <si>
    <t>Adipic acid</t>
  </si>
  <si>
    <t>All processes directly or indirectly linked to the production of the benchmarked product as well as the N2O destruction process are included</t>
  </si>
  <si>
    <t>Vinyl chloride (chloroethylene)</t>
  </si>
  <si>
    <t>Vinyl chloride monomer (VCM)</t>
  </si>
  <si>
    <t>All processes directly or indirectly linked to the production steps direct chlorination, oxychlorination and EDC cracking to VCM are included</t>
  </si>
  <si>
    <t>Sum of phenol, acetone and the by-product alpha-methyl styrene as total production</t>
  </si>
  <si>
    <t>Phenol/ acetone</t>
  </si>
  <si>
    <t>All processes directly or indirectly linked to the production of phenol and acetone are included, in particular air compression, hydroperoxidation, cumene recovery from spent air, concentration and cleavage, production fractionation and purification, tar cracking, acetophenone recovery and purification, AMS recovery for export, AMS hydrogenation for ISB recycle, initial waste water purification (first waste water stripper), cooling water generation (e.g. cooling towers), cooling water utilisation (circulation pumps), flare and incinerators (even if physically located OSB) as well as any support fuel consumption</t>
  </si>
  <si>
    <t>Polyvinyl chloride; not mixed with any other substances consisting of PVC particles with a mean size between 50 and 200 μm</t>
  </si>
  <si>
    <t>S-PVC</t>
  </si>
  <si>
    <t>All processes directly or indirectly linked to the production of S-PVC are included except the production of VCM</t>
  </si>
  <si>
    <t>Polyvinyl chloride; not mixed with any other substances consisting of PVC particles with a mean size between 0,1 and 3 μm</t>
  </si>
  <si>
    <t>E-PVC</t>
  </si>
  <si>
    <t>All processes directly or indirectly linked to the production of E-PVC are included except the production of VCM</t>
  </si>
  <si>
    <t>Disodium carbonate as total gross production except dense soda ash obtained as byproduct in a caprolactam production network</t>
  </si>
  <si>
    <t>Soda ash</t>
  </si>
  <si>
    <t>All processes directly or indirectly linked to the process units brine purification, limestone calcination and milk of lime production, absorption of ammonia, precipitation of NaHCO3, filtration or Separation of NaHCO3 crystals from mother liquor, decomposition of NaHCO3 to Na2CO3, recovery of ammonia and densification or production of dense soda ash are included</t>
  </si>
  <si>
    <t>Refinery products</t>
  </si>
  <si>
    <t>All processes of a refinery matching the definition of one of the CWT process units as well as ancillary non-process facilities operating inside the refinery fence-line such as tankage, blending, effluent treatment, etc. are included. For the determination of indirect emissions, the total electricity consumption within the system boundaries shall be considered</t>
  </si>
  <si>
    <t>Steel containing less than 8 % metallic alloying elements and tramp elements to such levels limiting the use to those applications where no high surface quality and processability is required</t>
  </si>
  <si>
    <t>EAF carbon steel</t>
  </si>
  <si>
    <t>All processes directly or indirectly linked to the process units electric arc furnace, secondary metallurgy, casting and cutting, post-combustion unit, dedusting unit, vessels heating stands, casting ingots preheating stands, scrap drying and scrap preheating are included. For the determination of indirect emissions, the total electricity consumption within the system boundaries shall be considered</t>
  </si>
  <si>
    <t>Steel containing 8 % or more metallic alloying elements or where high surface quality and processability is required</t>
  </si>
  <si>
    <t>EAF high alloy steel</t>
  </si>
  <si>
    <t>All processes directly or indirectly linked to the process units electric arc furnace, secondary metallurgy, casting and cutting, post-combustion unit, dedusting unit, vessels heating stands, casting ingots preheating stands, slow cooling pit, scrap drying and scrap preheating are included. The process units FeCr converter and cryogenic storage of industrial gases are not included. For the determination of indirect emissions, the total electricity consumption within the system boundaries shall be considered</t>
  </si>
  <si>
    <t>Casted iron expressed as tons of liquid iron ready alloyed, skinned, and ready for casting</t>
  </si>
  <si>
    <t>Iron casting</t>
  </si>
  <si>
    <t>All processes directly or indirectly linked to the process steps melting shop, casting shop, core shop and finishing are included. For the determination of indirect emissions, only the electricity consumption of melting processes within the system boundaries shall be considered</t>
  </si>
  <si>
    <t>Mineral wool insulation products for thermal, acoustic and fire applications manufactured using glass, rock or slag</t>
  </si>
  <si>
    <t>All processes directly or indirectly linked to the production steps melting, fibreising and injection of binders, curing and drying and forming are included. For the determination of indirect emissions, the total electricity consumption within the system boundaries shall be considered</t>
  </si>
  <si>
    <t>The benchmark covers boards, sheets, panels, tiles, similar articles of plaster/compositions based on plaster, (not) faced/reinforced with paper/paperboard only, excluding articles agglomerated with plaster, ornamented (in tonnes of stucco). High-density gypsum fibreboards not covered by this product benchmark</t>
  </si>
  <si>
    <t>Plasterboarder</t>
  </si>
  <si>
    <t>All processes directly or indirectly linked to the production steps milling, drying, calcining and board drying are included. For the determination of indirect emissions, only the electricity consumption of heat pumps applied in the drying step shall be considered</t>
  </si>
  <si>
    <t>Furnace carbon black. Gas- and lamp black products are not covered by this benchmark</t>
  </si>
  <si>
    <t>Carbon black</t>
  </si>
  <si>
    <t>All processes directly or indirectly linked to the production of furnace carbon black as well as finishing, packaging and flaring are included. For the determination of indirect emissions, the total electricity consumption within the system boundaries shall be considered</t>
  </si>
  <si>
    <t>Ammonia (NH3), to be recorded in tons produced</t>
  </si>
  <si>
    <t>Ammonia</t>
  </si>
  <si>
    <t>All processes directly or indirectly linked to the production of the ammonia and the intermediate product hydrogen are included. For the determination of indirect emissions, the total electricity consumption within the system boundaries shall be considered</t>
  </si>
  <si>
    <t>Mix of high value chemicals (HVC) expressed as total mass of acetylene, ethylene, propylene, butadiene, benzene and hydrogen excluding HVC from supplemental feed (hydrogen, ethylene, other HVC) with an ethylene content in the total product mix of at least 30 mass-percent and a content of HVC, fuel gas, butenes and liquid hydrocarbons of together at least 50 mass-percent of the total product mix</t>
  </si>
  <si>
    <t>Steam cracking</t>
  </si>
  <si>
    <t>All processes directly or indirectly linked to the production of high value chemicals as purified product or intermediate product with concentrated content of the respective HVC in the lowest tradable form (raw C4, unhydrogenated pygas) are included except C4 extraction (butadiene plant), C4-hydrogenation, hydrotreating of pyrolysis gasoline and aromatics extraction and logistics/storage for daily operation. For the determination of indirect emissions, the total electricity consumption within the system boundaries shall be considered</t>
  </si>
  <si>
    <t>Aromatics</t>
  </si>
  <si>
    <t>All processes directly or indirectly linked to the aromatics sub-units pygas hydrotreater, benzene/toluene/xylene (BTX) extraction, TDP, HDA, xylene isomerisation, P-xylene units, cumene production and Cyclo-hexane production are included. For the determination of indirect emissions, the total electricity consumption within the system boundaries shall be considered</t>
  </si>
  <si>
    <t>Styrene monomer (vinyl benzene, CAS number: 100- 42-5)</t>
  </si>
  <si>
    <t>Styrene</t>
  </si>
  <si>
    <t>All processes directly or indirectly linked to the production of styrene as well as the intermediate product ethylbenzene (with the amount used as feed for the styrene production) are included. For the determination of indirect emissions, the total electricity consumption within the system boundaries shall be considered</t>
  </si>
  <si>
    <t>Pure hydrogen and mixtures of  hydrogen and carbon monoxide having a hydrogen content ≥ 60 % mole fraction of total contained hydrogen plus carbon monoxide based on the aggregation of all hydrogen- and carbonmonoxide-containing product streams exported from the sub-installation concerned expressed as 100 % hydrogen</t>
  </si>
  <si>
    <t>All relevant process elements directly or indirectly linked to the production of hydrogen and the separation of hydrogen and carbon monoxide are included. These elements lie between: (a) the point(s) of entry of hydrocarbon feedstock(s) and, if separate, fuel(s); (b) the points of exit of all product streams containing hydrogen and/or carbon monoxide; (c) the point(s) of entry or exit of import or export heat. For the determination of indirect emissions, the total electricity consumption within the system boundaries shall be considered</t>
  </si>
  <si>
    <t>Mixtures of hydrogen and carbon monoxide having a hydrogen content &lt; 60 % mole fraction of total contained hydrogen plus carbon monoxide based on the aggregation of all hydrogen- and carbon-monoxide-containing product streams exported from the sub-installation concerned referred to 47 volume-percent hydrogen</t>
  </si>
  <si>
    <t>Synthesis gas</t>
  </si>
  <si>
    <t>All relevant process elements directly or indirectly linked to the production of syngas and the separation of hydrogen and carbon monoxide are included. These elements lie between: (a) the point(s) of entry of hydrocarbon feedstock(s) and, if separate, fuel(s); (b) the points of exit of all product streams containing hydrogen1 and/or carbon monoxide1; (c) the point(s) of entry or exit of import or export heat. For the determination of indirect emissions, the total electricity consumption within the system boundaries shall be considered</t>
  </si>
  <si>
    <t>The ethylene oxide/ethylene glycol benchmark covers the products ethylene oxide (EO, high purity), monoethylene glycol (MEG, standard grade + fibre grade (high purity)), diethylene glycol (DEG), triethylene glycol (TEG). The total amount of products is expressed in terms of EOequivalents (EOE), which are defined as the amount of EO (in mass) that is embedded in one mass unit of the specific glycol</t>
  </si>
  <si>
    <t>Ethylene oxide/ ethylene
glycols</t>
  </si>
  <si>
    <t>All processes directly or indirectly linked to the process units EO production, EO purification and glycol section are included. The total electricity consumption (and the related indirect emissions) within the system boundaries is covered by this product benchmark</t>
  </si>
  <si>
    <t>[not specified]</t>
  </si>
  <si>
    <t>Heat</t>
  </si>
  <si>
    <t>GHG emission factor</t>
  </si>
  <si>
    <t>Electricity</t>
  </si>
  <si>
    <r>
      <t>tCO</t>
    </r>
    <r>
      <rPr>
        <vertAlign val="subscript"/>
        <sz val="10"/>
        <color theme="1"/>
        <rFont val="Arial"/>
        <family val="2"/>
      </rPr>
      <t>2</t>
    </r>
    <r>
      <rPr>
        <sz val="10"/>
        <color theme="1"/>
        <rFont val="Arial"/>
        <family val="2"/>
      </rPr>
      <t>e / MWh</t>
    </r>
  </si>
  <si>
    <t>EUCO3232.5 scenario on Member States</t>
  </si>
  <si>
    <t>Base year 2050. Combustion only. EU average mix</t>
  </si>
  <si>
    <t>Natural-gas-based fossil default</t>
  </si>
  <si>
    <t>Natural gas</t>
  </si>
  <si>
    <r>
      <t>tCO</t>
    </r>
    <r>
      <rPr>
        <vertAlign val="subscript"/>
        <sz val="10"/>
        <rFont val="Arial"/>
        <family val="2"/>
      </rPr>
      <t>2</t>
    </r>
    <r>
      <rPr>
        <sz val="10"/>
        <rFont val="Arial"/>
        <family val="2"/>
      </rPr>
      <t xml:space="preserve"> / MWh</t>
    </r>
  </si>
  <si>
    <t xml:space="preserve">COMMISSION DELEGATED REGULATION (EU) 2018/2066 of 19 December 2018, annex VI </t>
  </si>
  <si>
    <t>Methanol</t>
  </si>
  <si>
    <t>IF GHG emission methodology</t>
  </si>
  <si>
    <t>Fossil fuel comparator</t>
  </si>
  <si>
    <t>Diesel</t>
  </si>
  <si>
    <t>Substituted fossil transport fuel</t>
  </si>
  <si>
    <t>Gasoline</t>
  </si>
  <si>
    <t>LPG</t>
  </si>
  <si>
    <t>Aviation kerosene</t>
  </si>
  <si>
    <t>Aviation gasoline</t>
  </si>
  <si>
    <t>Marine fuel (including gas oil and fuel oil)</t>
  </si>
  <si>
    <t>Synthetic crude</t>
  </si>
  <si>
    <t>Alternative factors</t>
  </si>
  <si>
    <t>Combustion emissions for fossil fuel used in processes or as inputs</t>
  </si>
  <si>
    <t>Crude Oil</t>
  </si>
  <si>
    <t>2006 IPCC Guidelines for National Greenhouse Gas Inventories</t>
  </si>
  <si>
    <t>Jet Kerosene</t>
  </si>
  <si>
    <t>Gas/Diesel Oil</t>
  </si>
  <si>
    <t>Residual Fuel Oil</t>
  </si>
  <si>
    <t>Other Kerosene</t>
  </si>
  <si>
    <t>Liquefied Petroleum Gases</t>
  </si>
  <si>
    <t>Naphtha</t>
  </si>
  <si>
    <t>Petroleum Coke</t>
  </si>
  <si>
    <t>Anthracite</t>
  </si>
  <si>
    <t>Coking Coal</t>
  </si>
  <si>
    <t>Other Bituminous Coal</t>
  </si>
  <si>
    <t>Sub-Bituminous Coal</t>
  </si>
  <si>
    <t>Lignite</t>
  </si>
  <si>
    <t>Coke Oven Coke and Lignite Coke</t>
  </si>
  <si>
    <t xml:space="preserve">Embedded emissions for input </t>
  </si>
  <si>
    <t>N fertilizer</t>
  </si>
  <si>
    <t>Definition of input data to assess GHG default emissions from biofuels in EU legislation</t>
  </si>
  <si>
    <t>P2O5 fertilizer</t>
  </si>
  <si>
    <t>K2O fertilizer</t>
  </si>
  <si>
    <t>Aglime (as CaO)</t>
  </si>
  <si>
    <t>Pesticides</t>
  </si>
  <si>
    <t>CaO as process chemical</t>
  </si>
  <si>
    <t>HCl</t>
  </si>
  <si>
    <t>Na2CO3</t>
  </si>
  <si>
    <t>NaCl</t>
  </si>
  <si>
    <t>NaOH</t>
  </si>
  <si>
    <t>H2SO4</t>
  </si>
  <si>
    <t>H3PO4</t>
  </si>
  <si>
    <t>Cyclohexane</t>
  </si>
  <si>
    <t>Lubricants</t>
  </si>
  <si>
    <t>Alpha-amylase</t>
  </si>
  <si>
    <t>Gluco-amylase</t>
  </si>
  <si>
    <t>Na(CH3O)</t>
  </si>
  <si>
    <t>n-hexane</t>
  </si>
  <si>
    <t>KOH</t>
  </si>
  <si>
    <t>N2</t>
  </si>
  <si>
    <t>(NH4)2SO4</t>
  </si>
  <si>
    <t>KH2PO4</t>
  </si>
  <si>
    <t>MgSO4</t>
  </si>
  <si>
    <t>CaCl2</t>
  </si>
  <si>
    <t>Antifoam</t>
  </si>
  <si>
    <t>SO2</t>
  </si>
  <si>
    <t>DAP</t>
  </si>
  <si>
    <t>Net Calorific Value</t>
  </si>
  <si>
    <t xml:space="preserve">Fuels- gases </t>
  </si>
  <si>
    <t>Methane</t>
  </si>
  <si>
    <t>MJ/kg</t>
  </si>
  <si>
    <t>BioGrace Excel Tool V4 for Compliance</t>
  </si>
  <si>
    <t>LHV</t>
  </si>
  <si>
    <t>Residues (feedstock or input)</t>
  </si>
  <si>
    <t>Manure</t>
  </si>
  <si>
    <t>Fuels- liquids (also conversion inputs)</t>
  </si>
  <si>
    <t>HFO</t>
  </si>
  <si>
    <t>HFO for maritime transport</t>
  </si>
  <si>
    <t>Ethanol</t>
  </si>
  <si>
    <t>FAME</t>
  </si>
  <si>
    <t>Syn diesel (BtL)</t>
  </si>
  <si>
    <t>HVO</t>
  </si>
  <si>
    <t>PVO</t>
  </si>
  <si>
    <t>Fuels / feedstock / co-products - solids</t>
  </si>
  <si>
    <t>Hard coal</t>
  </si>
  <si>
    <t>Corn</t>
  </si>
  <si>
    <t>FFB</t>
  </si>
  <si>
    <t>Rapeseed</t>
  </si>
  <si>
    <t>Soybeans</t>
  </si>
  <si>
    <t>Sugar beet</t>
  </si>
  <si>
    <t>Sugar cane</t>
  </si>
  <si>
    <t>Sunflowerseed</t>
  </si>
  <si>
    <t>Wheat</t>
  </si>
  <si>
    <t>Waste vegetable / animal oil</t>
  </si>
  <si>
    <t>BioOil (co-product FAME from waste oil)</t>
  </si>
  <si>
    <t>Crude vegetable oil</t>
  </si>
  <si>
    <t>DDGS (10 wt% moisture)</t>
  </si>
  <si>
    <t>Glycerol</t>
  </si>
  <si>
    <t>Palm kernel meal</t>
  </si>
  <si>
    <t>Palm oil</t>
  </si>
  <si>
    <t>Rapeseed meal</t>
  </si>
  <si>
    <t>Refined vegetable oil</t>
  </si>
  <si>
    <t>Soybean oil</t>
  </si>
  <si>
    <t>Sugar beet pulp</t>
  </si>
  <si>
    <t>Sugar beet slops</t>
  </si>
  <si>
    <t>Wheat straw</t>
  </si>
  <si>
    <t xml:space="preserve">Conversion inputs </t>
  </si>
  <si>
    <t>n-Hexane</t>
  </si>
  <si>
    <t>Density</t>
  </si>
  <si>
    <r>
      <t>kg/m</t>
    </r>
    <r>
      <rPr>
        <vertAlign val="superscript"/>
        <sz val="10"/>
        <rFont val="Verdana"/>
        <family val="2"/>
      </rPr>
      <t>3</t>
    </r>
  </si>
  <si>
    <t>Alkaline electrolyser</t>
  </si>
  <si>
    <t>€/kW</t>
  </si>
  <si>
    <t>Strategic Research and Innovation Agenda 2021-2027, Clean Hydrogen Joint Undertaking, Annex to GB decision no. CleanHydrogen-GB-2022-01</t>
  </si>
  <si>
    <t>PEM electrolyser</t>
  </si>
  <si>
    <t>Strategic Research and Innovation Agenda 2021-2027, Clean Hydrogen Joint Undertaking, Annex to GB decision no. CleanHydrogen-GB-2022-00</t>
  </si>
  <si>
    <t>Solid oxide electrolyser</t>
  </si>
  <si>
    <t>Anion exchange electrolyser</t>
  </si>
  <si>
    <t>Strategic Research and Innovation Agenda 2021-2027, Clean Hydrogen Joint Undertaking, Annex to GB decision no. CleanHydrogen-GB-2022-02</t>
  </si>
  <si>
    <t>Default load hours for manufacturing projects</t>
  </si>
  <si>
    <t>Default load hours assumption for electrolyser installations</t>
  </si>
  <si>
    <t>All electrolysers</t>
  </si>
  <si>
    <t>Hours per year</t>
  </si>
  <si>
    <t>Commission Staff Working Document Implementing the Repower EU Action Plan: Investment Needs, Hydrogen Accelerator and Achieving the Bio-Methane Targets</t>
  </si>
  <si>
    <t>Data / Assumption</t>
  </si>
  <si>
    <t>Version</t>
  </si>
  <si>
    <t>Tool to support the calculation of CCS/U credit under the Innovation Fund</t>
  </si>
  <si>
    <r>
      <t>CC</t>
    </r>
    <r>
      <rPr>
        <vertAlign val="subscript"/>
        <sz val="10"/>
        <color theme="1"/>
        <rFont val="Arial"/>
        <family val="2"/>
      </rPr>
      <t>credit</t>
    </r>
  </si>
  <si>
    <r>
      <t>CC</t>
    </r>
    <r>
      <rPr>
        <vertAlign val="subscript"/>
        <sz val="10"/>
        <color rgb="FF000000"/>
        <rFont val="Arial"/>
        <family val="2"/>
      </rPr>
      <t>storage,y</t>
    </r>
  </si>
  <si>
    <r>
      <t>CC</t>
    </r>
    <r>
      <rPr>
        <vertAlign val="subscript"/>
        <sz val="10"/>
        <color rgb="FF000000"/>
        <rFont val="Arial"/>
        <family val="2"/>
      </rPr>
      <t>use,y</t>
    </r>
  </si>
  <si>
    <r>
      <t>CC</t>
    </r>
    <r>
      <rPr>
        <vertAlign val="subscript"/>
        <sz val="10"/>
        <color rgb="FF000000"/>
        <rFont val="Arial"/>
        <family val="2"/>
      </rPr>
      <t>capture,y</t>
    </r>
  </si>
  <si>
    <r>
      <t>CC</t>
    </r>
    <r>
      <rPr>
        <vertAlign val="subscript"/>
        <sz val="10"/>
        <color rgb="FF000000"/>
        <rFont val="Arial"/>
        <family val="2"/>
      </rPr>
      <t>EHR,y</t>
    </r>
  </si>
  <si>
    <r>
      <t>CC</t>
    </r>
    <r>
      <rPr>
        <vertAlign val="subscript"/>
        <sz val="10"/>
        <color rgb="FF000000"/>
        <rFont val="Arial"/>
        <family val="2"/>
      </rPr>
      <t>pipeline,y</t>
    </r>
  </si>
  <si>
    <r>
      <t>CC</t>
    </r>
    <r>
      <rPr>
        <vertAlign val="subscript"/>
        <sz val="10"/>
        <color rgb="FF000000"/>
        <rFont val="Arial"/>
        <family val="2"/>
      </rPr>
      <t>transport,y</t>
    </r>
  </si>
  <si>
    <r>
      <t>CC</t>
    </r>
    <r>
      <rPr>
        <vertAlign val="subscript"/>
        <sz val="11"/>
        <color theme="1"/>
        <rFont val="Calibri"/>
        <family val="2"/>
        <scheme val="minor"/>
      </rPr>
      <t>use,y</t>
    </r>
  </si>
  <si>
    <r>
      <t>CC</t>
    </r>
    <r>
      <rPr>
        <vertAlign val="subscript"/>
        <sz val="11"/>
        <color theme="1"/>
        <rFont val="Calibri"/>
        <family val="2"/>
        <scheme val="minor"/>
      </rPr>
      <t>storage,y</t>
    </r>
  </si>
  <si>
    <r>
      <t>CC</t>
    </r>
    <r>
      <rPr>
        <vertAlign val="subscript"/>
        <sz val="11"/>
        <color theme="1"/>
        <rFont val="Calibri"/>
        <family val="2"/>
        <scheme val="minor"/>
      </rPr>
      <t>capture,y</t>
    </r>
  </si>
  <si>
    <r>
      <t>CC</t>
    </r>
    <r>
      <rPr>
        <vertAlign val="subscript"/>
        <sz val="11"/>
        <color theme="1"/>
        <rFont val="Calibri"/>
        <family val="2"/>
        <scheme val="minor"/>
      </rPr>
      <t>pipeline,y</t>
    </r>
  </si>
  <si>
    <r>
      <t>CC</t>
    </r>
    <r>
      <rPr>
        <vertAlign val="subscript"/>
        <sz val="11"/>
        <color theme="1"/>
        <rFont val="Calibri"/>
        <family val="2"/>
        <scheme val="minor"/>
      </rPr>
      <t>injection,y</t>
    </r>
  </si>
  <si>
    <r>
      <t>CC</t>
    </r>
    <r>
      <rPr>
        <vertAlign val="subscript"/>
        <sz val="11"/>
        <color theme="1"/>
        <rFont val="Calibri"/>
        <family val="2"/>
        <scheme val="minor"/>
      </rPr>
      <t>transport,road,y</t>
    </r>
  </si>
  <si>
    <r>
      <t>CC</t>
    </r>
    <r>
      <rPr>
        <vertAlign val="subscript"/>
        <sz val="11"/>
        <color theme="1"/>
        <rFont val="Calibri"/>
        <family val="2"/>
        <scheme val="minor"/>
      </rPr>
      <t>transport,maritime,y</t>
    </r>
  </si>
  <si>
    <r>
      <t>CC</t>
    </r>
    <r>
      <rPr>
        <vertAlign val="subscript"/>
        <sz val="11"/>
        <color theme="1"/>
        <rFont val="Calibri"/>
        <family val="2"/>
        <scheme val="minor"/>
      </rPr>
      <t>transport,rail,y</t>
    </r>
  </si>
  <si>
    <t>GHG Emissions</t>
  </si>
  <si>
    <t xml:space="preserve">Data traceability </t>
  </si>
  <si>
    <r>
      <t>t CO</t>
    </r>
    <r>
      <rPr>
        <b/>
        <vertAlign val="subscript"/>
        <sz val="10"/>
        <color rgb="FFFFFFFF"/>
        <rFont val="Arial"/>
        <family val="2"/>
      </rPr>
      <t>2</t>
    </r>
    <r>
      <rPr>
        <b/>
        <sz val="10"/>
        <color rgb="FFFFFFFF"/>
        <rFont val="Arial"/>
        <family val="2"/>
      </rPr>
      <t>e / [unit]</t>
    </r>
  </si>
  <si>
    <r>
      <t>t CO</t>
    </r>
    <r>
      <rPr>
        <b/>
        <vertAlign val="subscript"/>
        <sz val="10"/>
        <color rgb="FFFFFFFF"/>
        <rFont val="Arial"/>
        <family val="2"/>
      </rPr>
      <t>2</t>
    </r>
    <r>
      <rPr>
        <b/>
        <sz val="10"/>
        <color rgb="FFFFFFFF"/>
        <rFont val="Arial"/>
        <family val="2"/>
      </rPr>
      <t>e</t>
    </r>
  </si>
  <si>
    <t>Total emission credit per year</t>
  </si>
  <si>
    <r>
      <rPr>
        <sz val="11"/>
        <color rgb="FF000000"/>
        <rFont val="Arial"/>
        <family val="2"/>
      </rPr>
      <t>CC</t>
    </r>
    <r>
      <rPr>
        <vertAlign val="subscript"/>
        <sz val="11"/>
        <color rgb="FF000000"/>
        <rFont val="Arial"/>
        <family val="2"/>
      </rPr>
      <t>credit</t>
    </r>
  </si>
  <si>
    <r>
      <rPr>
        <sz val="10"/>
        <color rgb="FF000000"/>
        <rFont val="Arial"/>
        <family val="2"/>
      </rPr>
      <t>CC</t>
    </r>
    <r>
      <rPr>
        <vertAlign val="subscript"/>
        <sz val="10"/>
        <color rgb="FF000000"/>
        <rFont val="Arial"/>
        <family val="2"/>
      </rPr>
      <t>use,y</t>
    </r>
  </si>
  <si>
    <r>
      <t>CO</t>
    </r>
    <r>
      <rPr>
        <vertAlign val="subscript"/>
        <sz val="10"/>
        <color rgb="FF000000"/>
        <rFont val="Arial"/>
        <family val="2"/>
      </rPr>
      <t>2</t>
    </r>
    <r>
      <rPr>
        <sz val="10"/>
        <color rgb="FF000000"/>
        <rFont val="Arial"/>
        <family val="2"/>
      </rPr>
      <t xml:space="preserve"> incorporated into the final product</t>
    </r>
  </si>
  <si>
    <r>
      <t>Amount of CO</t>
    </r>
    <r>
      <rPr>
        <vertAlign val="subscript"/>
        <sz val="10"/>
        <color rgb="FF000000"/>
        <rFont val="Arial"/>
        <family val="2"/>
      </rPr>
      <t>2</t>
    </r>
    <r>
      <rPr>
        <sz val="10"/>
        <color rgb="FF000000"/>
        <rFont val="Arial"/>
        <family val="2"/>
      </rPr>
      <t xml:space="preserve"> that is incorporated into products. This amount may be calculated as 44/12 multiplied by the mass of carbon atoms from captured CO</t>
    </r>
    <r>
      <rPr>
        <vertAlign val="subscript"/>
        <sz val="10"/>
        <color rgb="FF000000"/>
        <rFont val="Arial"/>
        <family val="2"/>
      </rPr>
      <t>2</t>
    </r>
    <r>
      <rPr>
        <sz val="10"/>
        <color rgb="FF000000"/>
        <rFont val="Arial"/>
        <family val="2"/>
      </rPr>
      <t xml:space="preserve"> incorporated in the products. </t>
    </r>
  </si>
  <si>
    <r>
      <t>t CO</t>
    </r>
    <r>
      <rPr>
        <vertAlign val="subscript"/>
        <sz val="10"/>
        <color rgb="FF000000"/>
        <rFont val="Arial"/>
        <family val="2"/>
      </rPr>
      <t>2</t>
    </r>
  </si>
  <si>
    <r>
      <rPr>
        <sz val="10"/>
        <color rgb="FF000000"/>
        <rFont val="Arial"/>
        <family val="2"/>
      </rPr>
      <t>CC</t>
    </r>
    <r>
      <rPr>
        <vertAlign val="subscript"/>
        <sz val="10"/>
        <color rgb="FF000000"/>
        <rFont val="Arial"/>
        <family val="2"/>
      </rPr>
      <t>storage,y</t>
    </r>
  </si>
  <si>
    <r>
      <t>CO</t>
    </r>
    <r>
      <rPr>
        <vertAlign val="subscript"/>
        <sz val="10"/>
        <color rgb="FF000000"/>
        <rFont val="Arial"/>
        <family val="2"/>
      </rPr>
      <t>2</t>
    </r>
    <r>
      <rPr>
        <sz val="10"/>
        <color rgb="FF000000"/>
        <rFont val="Arial"/>
        <family val="2"/>
      </rPr>
      <t xml:space="preserve"> permanently stored</t>
    </r>
  </si>
  <si>
    <r>
      <t>Amount of CO</t>
    </r>
    <r>
      <rPr>
        <vertAlign val="subscript"/>
        <sz val="10"/>
        <color rgb="FF000000"/>
        <rFont val="Arial"/>
        <family val="2"/>
      </rPr>
      <t>2</t>
    </r>
    <r>
      <rPr>
        <sz val="10"/>
        <color rgb="FF000000"/>
        <rFont val="Arial"/>
        <family val="2"/>
      </rPr>
      <t xml:space="preserve"> that is injected for permanent storage in year y</t>
    </r>
  </si>
  <si>
    <t xml:space="preserve">Determined in accordance with Commission Implementing Regulation (EU) 2018/2066 on the monitoring and reporting of greenhouse gas emissions pursuant to Directive 2003/87/EC of the European Parliament and of the Council and amending Commission </t>
  </si>
  <si>
    <r>
      <rPr>
        <sz val="10"/>
        <color rgb="FF000000"/>
        <rFont val="Arial"/>
        <family val="2"/>
      </rPr>
      <t>CC</t>
    </r>
    <r>
      <rPr>
        <vertAlign val="subscript"/>
        <sz val="10"/>
        <color rgb="FF000000"/>
        <rFont val="Arial"/>
        <family val="2"/>
      </rPr>
      <t>capture,y</t>
    </r>
  </si>
  <si>
    <t>Various</t>
  </si>
  <si>
    <t>Emissions from capture activities. See Regulation (EU) 2018/2066, Annex IV, Section 21.</t>
  </si>
  <si>
    <r>
      <rPr>
        <sz val="10"/>
        <color rgb="FF000000"/>
        <rFont val="Arial"/>
        <family val="2"/>
      </rPr>
      <t>CC</t>
    </r>
    <r>
      <rPr>
        <vertAlign val="subscript"/>
        <sz val="10"/>
        <color rgb="FF000000"/>
        <rFont val="Arial"/>
        <family val="2"/>
      </rPr>
      <t>pipeline,y</t>
    </r>
  </si>
  <si>
    <r>
      <t>CC</t>
    </r>
    <r>
      <rPr>
        <vertAlign val="subscript"/>
        <sz val="10"/>
        <color rgb="FF000000"/>
        <rFont val="Arial"/>
        <family val="2"/>
      </rPr>
      <t>injection,y</t>
    </r>
  </si>
  <si>
    <t>See Regulation (EU) 2018/2066, Annex IV, Section 23.</t>
  </si>
  <si>
    <r>
      <t>K</t>
    </r>
    <r>
      <rPr>
        <vertAlign val="subscript"/>
        <sz val="10"/>
        <color rgb="FF000000"/>
        <rFont val="Arial"/>
        <family val="2"/>
      </rPr>
      <t>road,L</t>
    </r>
  </si>
  <si>
    <r>
      <t>K</t>
    </r>
    <r>
      <rPr>
        <vertAlign val="subscript"/>
        <sz val="10"/>
        <color rgb="FF000000"/>
        <rFont val="Arial"/>
        <family val="2"/>
      </rPr>
      <t>road</t>
    </r>
  </si>
  <si>
    <t xml:space="preserve">Total distance travelled by road vehicles </t>
  </si>
  <si>
    <t>km</t>
  </si>
  <si>
    <t>Equals to distance of one-way trip * number of trips</t>
  </si>
  <si>
    <r>
      <rPr>
        <sz val="10"/>
        <color rgb="FF000000"/>
        <rFont val="Arial"/>
        <family val="2"/>
      </rPr>
      <t>K</t>
    </r>
    <r>
      <rPr>
        <vertAlign val="subscript"/>
        <sz val="10"/>
        <color rgb="FF000000"/>
        <rFont val="Arial"/>
        <family val="2"/>
      </rPr>
      <t>maritime,L</t>
    </r>
  </si>
  <si>
    <r>
      <t>K</t>
    </r>
    <r>
      <rPr>
        <vertAlign val="subscript"/>
        <sz val="10"/>
        <color rgb="FF000000"/>
        <rFont val="Arial"/>
        <family val="2"/>
      </rPr>
      <t>maritime</t>
    </r>
  </si>
  <si>
    <t>Total distance travelled by maritime transportation</t>
  </si>
  <si>
    <r>
      <t>K</t>
    </r>
    <r>
      <rPr>
        <vertAlign val="subscript"/>
        <sz val="10"/>
        <color rgb="FF000000"/>
        <rFont val="Arial"/>
        <family val="2"/>
      </rPr>
      <t>rail,L</t>
    </r>
  </si>
  <si>
    <r>
      <t>K</t>
    </r>
    <r>
      <rPr>
        <vertAlign val="subscript"/>
        <sz val="10"/>
        <color rgb="FF000000"/>
        <rFont val="Arial"/>
        <family val="2"/>
      </rPr>
      <t>rail</t>
    </r>
  </si>
  <si>
    <t xml:space="preserve">Total distance travelled by rail </t>
  </si>
  <si>
    <r>
      <rPr>
        <sz val="11"/>
        <color theme="1"/>
        <rFont val="Calibri"/>
        <family val="2"/>
        <scheme val="minor"/>
      </rPr>
      <t>CO</t>
    </r>
    <r>
      <rPr>
        <vertAlign val="subscript"/>
        <sz val="11"/>
        <color theme="1"/>
        <rFont val="Calibri"/>
        <family val="2"/>
        <scheme val="minor"/>
      </rPr>
      <t>2road,L</t>
    </r>
  </si>
  <si>
    <r>
      <t>CO</t>
    </r>
    <r>
      <rPr>
        <vertAlign val="subscript"/>
        <sz val="10"/>
        <color rgb="FF000000"/>
        <rFont val="Arial"/>
        <family val="2"/>
      </rPr>
      <t>2</t>
    </r>
    <r>
      <rPr>
        <vertAlign val="subscript"/>
        <sz val="10"/>
        <color theme="1"/>
        <rFont val="Arial"/>
        <family val="2"/>
      </rPr>
      <t>transported_road</t>
    </r>
  </si>
  <si>
    <r>
      <t>Amount of CO</t>
    </r>
    <r>
      <rPr>
        <vertAlign val="subscript"/>
        <sz val="10"/>
        <color rgb="FF000000"/>
        <rFont val="Arial"/>
        <family val="2"/>
      </rPr>
      <t>2</t>
    </r>
    <r>
      <rPr>
        <sz val="10"/>
        <color rgb="FF000000"/>
        <rFont val="Arial"/>
        <family val="2"/>
      </rPr>
      <t xml:space="preserve"> transported by road vehicles</t>
    </r>
  </si>
  <si>
    <r>
      <rPr>
        <sz val="10"/>
        <color rgb="FF000000"/>
        <rFont val="Arial"/>
        <family val="2"/>
      </rPr>
      <t>CO</t>
    </r>
    <r>
      <rPr>
        <vertAlign val="subscript"/>
        <sz val="10"/>
        <color rgb="FF000000"/>
        <rFont val="Arial"/>
        <family val="2"/>
      </rPr>
      <t>2maritime,L</t>
    </r>
  </si>
  <si>
    <r>
      <t>CO</t>
    </r>
    <r>
      <rPr>
        <vertAlign val="subscript"/>
        <sz val="10"/>
        <color rgb="FF000000"/>
        <rFont val="Arial"/>
        <family val="2"/>
      </rPr>
      <t>2</t>
    </r>
    <r>
      <rPr>
        <vertAlign val="subscript"/>
        <sz val="10"/>
        <color theme="1"/>
        <rFont val="Arial"/>
        <family val="2"/>
      </rPr>
      <t>transported_maritime</t>
    </r>
  </si>
  <si>
    <r>
      <t>Amount of CO</t>
    </r>
    <r>
      <rPr>
        <vertAlign val="subscript"/>
        <sz val="10"/>
        <color rgb="FF000000"/>
        <rFont val="Arial"/>
        <family val="2"/>
      </rPr>
      <t>2</t>
    </r>
    <r>
      <rPr>
        <sz val="10"/>
        <color rgb="FF000000"/>
        <rFont val="Arial"/>
        <family val="2"/>
      </rPr>
      <t xml:space="preserve"> transported by maritime transportation</t>
    </r>
  </si>
  <si>
    <r>
      <rPr>
        <sz val="10"/>
        <color rgb="FF000000"/>
        <rFont val="Arial"/>
        <family val="2"/>
      </rPr>
      <t>CO</t>
    </r>
    <r>
      <rPr>
        <vertAlign val="subscript"/>
        <sz val="10"/>
        <color rgb="FF000000"/>
        <rFont val="Arial"/>
        <family val="2"/>
      </rPr>
      <t>2rail,L</t>
    </r>
  </si>
  <si>
    <r>
      <t>CO</t>
    </r>
    <r>
      <rPr>
        <vertAlign val="subscript"/>
        <sz val="10"/>
        <color rgb="FF000000"/>
        <rFont val="Arial"/>
        <family val="2"/>
      </rPr>
      <t>2</t>
    </r>
    <r>
      <rPr>
        <vertAlign val="subscript"/>
        <sz val="10"/>
        <color theme="1"/>
        <rFont val="Arial"/>
        <family val="2"/>
      </rPr>
      <t>transported_rail</t>
    </r>
  </si>
  <si>
    <r>
      <t>Amount of CO</t>
    </r>
    <r>
      <rPr>
        <vertAlign val="subscript"/>
        <sz val="10"/>
        <color rgb="FF000000"/>
        <rFont val="Arial"/>
        <family val="2"/>
      </rPr>
      <t>2</t>
    </r>
    <r>
      <rPr>
        <sz val="10"/>
        <color rgb="FF000000"/>
        <rFont val="Arial"/>
        <family val="2"/>
      </rPr>
      <t xml:space="preserve"> transported by rail</t>
    </r>
  </si>
  <si>
    <r>
      <rPr>
        <sz val="10"/>
        <color rgb="FF000000"/>
        <rFont val="Arial"/>
        <family val="2"/>
      </rPr>
      <t>CC</t>
    </r>
    <r>
      <rPr>
        <vertAlign val="subscript"/>
        <sz val="10"/>
        <color rgb="FF000000"/>
        <rFont val="Arial"/>
        <family val="2"/>
      </rPr>
      <t>transport,road,y</t>
    </r>
  </si>
  <si>
    <r>
      <t>K * CO</t>
    </r>
    <r>
      <rPr>
        <vertAlign val="subscript"/>
        <sz val="10"/>
        <color rgb="FF000000"/>
        <rFont val="Arial"/>
        <family val="2"/>
      </rPr>
      <t>2</t>
    </r>
  </si>
  <si>
    <t>[See above]</t>
  </si>
  <si>
    <r>
      <t>t CO</t>
    </r>
    <r>
      <rPr>
        <vertAlign val="subscript"/>
        <sz val="10"/>
        <color rgb="FF000000"/>
        <rFont val="Arial"/>
        <family val="2"/>
      </rPr>
      <t xml:space="preserve">2 </t>
    </r>
    <r>
      <rPr>
        <sz val="10"/>
        <color rgb="FF000000"/>
        <rFont val="Arial"/>
        <family val="2"/>
      </rPr>
      <t xml:space="preserve">* km </t>
    </r>
  </si>
  <si>
    <r>
      <rPr>
        <sz val="10"/>
        <color rgb="FF000000"/>
        <rFont val="Arial"/>
        <family val="2"/>
      </rPr>
      <t>CC</t>
    </r>
    <r>
      <rPr>
        <vertAlign val="subscript"/>
        <sz val="10"/>
        <color rgb="FF000000"/>
        <rFont val="Arial"/>
        <family val="2"/>
      </rPr>
      <t>transport,maritime,y</t>
    </r>
  </si>
  <si>
    <r>
      <rPr>
        <sz val="10"/>
        <color rgb="FF000000"/>
        <rFont val="Arial"/>
        <family val="2"/>
      </rPr>
      <t>CC</t>
    </r>
    <r>
      <rPr>
        <vertAlign val="subscript"/>
        <sz val="10"/>
        <color rgb="FF000000"/>
        <rFont val="Arial"/>
        <family val="2"/>
      </rPr>
      <t>transport,rail,y</t>
    </r>
  </si>
  <si>
    <r>
      <t>EF</t>
    </r>
    <r>
      <rPr>
        <vertAlign val="subscript"/>
        <sz val="10"/>
        <color theme="1"/>
        <rFont val="Arial"/>
        <family val="2"/>
      </rPr>
      <t>road</t>
    </r>
  </si>
  <si>
    <r>
      <t>kg CO</t>
    </r>
    <r>
      <rPr>
        <vertAlign val="subscript"/>
        <sz val="10"/>
        <color theme="1"/>
        <rFont val="Arial"/>
        <family val="2"/>
      </rPr>
      <t>2</t>
    </r>
    <r>
      <rPr>
        <sz val="10"/>
        <color theme="1"/>
        <rFont val="Arial"/>
        <family val="2"/>
      </rPr>
      <t>e / tonne.km</t>
    </r>
  </si>
  <si>
    <t>40 tonne articulated truck carrying 20m3 pressurized cryotank. Includes return trip.</t>
  </si>
  <si>
    <r>
      <t>EF</t>
    </r>
    <r>
      <rPr>
        <vertAlign val="subscript"/>
        <sz val="10"/>
        <color theme="1"/>
        <rFont val="Arial"/>
        <family val="2"/>
      </rPr>
      <t>rail</t>
    </r>
  </si>
  <si>
    <r>
      <t xml:space="preserve">M.L. Perez et al. </t>
    </r>
    <r>
      <rPr>
        <i/>
        <sz val="10"/>
        <color theme="1"/>
        <rFont val="Arial"/>
        <family val="2"/>
      </rPr>
      <t>Low Carbon Economy, 2012, 3, 21-33. http://dx.doi.org/10.4236/lce.2012.31004</t>
    </r>
  </si>
  <si>
    <t>Transport in liquid form. Includes necessary boil-off</t>
  </si>
  <si>
    <r>
      <t>EF</t>
    </r>
    <r>
      <rPr>
        <vertAlign val="subscript"/>
        <sz val="10"/>
        <color theme="1"/>
        <rFont val="Arial"/>
        <family val="2"/>
      </rPr>
      <t>maritime</t>
    </r>
  </si>
  <si>
    <t>IPCC special report on Carbon Capture and Storage, chapter 4. https://www.ipcc.ch/site/assets/uploads/2018/03/srccs_chapter4-1.pdf</t>
  </si>
  <si>
    <r>
      <t>Lower end of IPCC range, Includes fuel combustion and boil-off of CO</t>
    </r>
    <r>
      <rPr>
        <vertAlign val="subscript"/>
        <sz val="10"/>
        <rFont val="Arial"/>
        <family val="2"/>
      </rPr>
      <t>2</t>
    </r>
    <r>
      <rPr>
        <sz val="10"/>
        <rFont val="Arial"/>
        <family val="2"/>
      </rPr>
      <t>.</t>
    </r>
  </si>
  <si>
    <t>HISTORY OF CHANGES</t>
  </si>
  <si>
    <t>Publication date</t>
  </si>
  <si>
    <t>Changes</t>
  </si>
  <si>
    <t>v1.0</t>
  </si>
  <si>
    <t>26.10.2021</t>
  </si>
  <si>
    <t>Initial version</t>
  </si>
  <si>
    <t>v1.1</t>
  </si>
  <si>
    <t>7.02.2022</t>
  </si>
  <si>
    <t>Tab 'Other GHG emission avoidance' correct the reference that such emissions are counted under the “Quality of the calculation, net carbon removals, other GHG savings” sub-criterion.</t>
  </si>
  <si>
    <t>v2.0</t>
  </si>
  <si>
    <t>15.03.2022</t>
  </si>
  <si>
    <t>LSC and SSC merged</t>
  </si>
  <si>
    <t>v3.0</t>
  </si>
  <si>
    <t>03.11.2022</t>
  </si>
  <si>
    <t>CC credit' tabs inserted, change of pivot tables to sumifs functions, deletion of 'scalability' tab, rename and update of 'degree of innovation' tab to 'additional renewable electricity', update of 'net carbon removals' and 'other GHG avoidance' tabs</t>
  </si>
  <si>
    <t>v4.0</t>
  </si>
  <si>
    <t>03.02.2023</t>
  </si>
  <si>
    <t xml:space="preserve">Correction in row 22 in "CC credit_calculation" tab to include CCstorage and CCuse, deletion of extra space after "Timed operation credit" in C27 of Project Emission sheet, which is breaking a formula in cell B12 of "Net carbon removals", addition of a dropdown menu in cell C27 of "project emissions" for timed operation credit, formula correction in CCcredit_calculation cell AB20, formula extension in Project emissions cells B6:B12, revised grand total for summary table in CC credit sheet to match sign convention in row 20, revised the sign convention in Column AB of the CC credit calculator sheet, Added missing sum term in cell O23 of CC credit calculator, Added the CC credit term to the "Process" row of the "Absolute GHG emissions by scenario and step of the process" table of the summary sheet so that this correctly reflects overall process emissions, Project emissions, corrected annual sum in row 21 to include all rows down to 49. </t>
  </si>
  <si>
    <t>v5.0</t>
  </si>
  <si>
    <t>Update of Conversion Factors data; addition of emission factor for heat used as input in Ref Conversion Factors.</t>
  </si>
  <si>
    <t>23.11.2023</t>
  </si>
  <si>
    <t>Other non-ferrous metal products or substitute products</t>
  </si>
  <si>
    <t>Cement clinker</t>
  </si>
  <si>
    <t xml:space="preserve">Manufacturing of components for energy intensive industries </t>
  </si>
  <si>
    <t>Electrolysers and their components</t>
  </si>
  <si>
    <t>Recycling of materials for production of electrolysers and their components</t>
  </si>
  <si>
    <t>v5.1</t>
  </si>
  <si>
    <t>19.02.2024</t>
  </si>
  <si>
    <t>Sector dropdown in "Summary" tab updated to include Road Transport and Buildings. Principal product dropdown reviewed for alignment with Table 1.1 of the GHG methodology.</t>
  </si>
  <si>
    <r>
      <t>Ref</t>
    </r>
    <r>
      <rPr>
        <vertAlign val="subscript"/>
        <sz val="11"/>
        <color rgb="FF000000"/>
        <rFont val="Arial"/>
        <family val="2"/>
      </rPr>
      <t>y, TOT</t>
    </r>
  </si>
  <si>
    <r>
      <t>Proj</t>
    </r>
    <r>
      <rPr>
        <vertAlign val="subscript"/>
        <sz val="11"/>
        <color rgb="FF000000"/>
        <rFont val="Arial"/>
        <family val="2"/>
      </rPr>
      <t>y, TOT</t>
    </r>
  </si>
  <si>
    <t>GHG emission avoidance</t>
  </si>
  <si>
    <t>Non-hybrid projects shall only report values for the relevant category.</t>
  </si>
  <si>
    <t>+</t>
  </si>
  <si>
    <t>Check that the horizontal and vertical sums are consistent</t>
  </si>
  <si>
    <t>Electricity as input</t>
  </si>
  <si>
    <t>Electricity saved by electricity saving projects</t>
  </si>
  <si>
    <t>Electricity released by 'virtual storage' component</t>
  </si>
  <si>
    <t>Base year 2030. Combustion only. EU average mix</t>
  </si>
  <si>
    <t>Hydrogen not identified as renewable or low-carbon as input</t>
  </si>
  <si>
    <t>Unwrought non-alloy liquid aluminium from electrolysis</t>
  </si>
  <si>
    <r>
      <t>CO</t>
    </r>
    <r>
      <rPr>
        <vertAlign val="subscript"/>
        <sz val="10"/>
        <color theme="1"/>
        <rFont val="Arial"/>
        <family val="2"/>
      </rPr>
      <t>2</t>
    </r>
    <r>
      <rPr>
        <sz val="10"/>
        <color theme="1"/>
        <rFont val="Arial"/>
        <family val="2"/>
      </rPr>
      <t xml:space="preserve"> transport</t>
    </r>
  </si>
  <si>
    <t>Emission factor for CO2 transport by heavy truck.</t>
  </si>
  <si>
    <t>Emission factor for CO2 transport by rail.</t>
  </si>
  <si>
    <t>Emission factor for CO2 transport by maritime modals.</t>
  </si>
  <si>
    <t>For further detailed information on how to do the calculation and on all conditions linked to the application and grant award, please refer to the call text and the Methodology for GHG Emission Avoidance Calculation. This tool is provided only as support. In case of divergence of the information or formulas between here and the call text or methodology, the call text and methodology take precedence.</t>
  </si>
  <si>
    <t>Introduction to the CC_credit calculation tool</t>
  </si>
  <si>
    <t>Products in selected sector:</t>
  </si>
  <si>
    <t>Sectors:</t>
  </si>
  <si>
    <r>
      <t>CO</t>
    </r>
    <r>
      <rPr>
        <vertAlign val="subscript"/>
        <sz val="11"/>
        <color rgb="FF000000"/>
        <rFont val="Arial"/>
        <family val="2"/>
      </rPr>
      <t>2</t>
    </r>
    <r>
      <rPr>
        <sz val="11"/>
        <color rgb="FF000000"/>
        <rFont val="Arial"/>
        <family val="2"/>
      </rPr>
      <t xml:space="preserve"> transport</t>
    </r>
  </si>
  <si>
    <r>
      <t>CO</t>
    </r>
    <r>
      <rPr>
        <vertAlign val="subscript"/>
        <sz val="11"/>
        <color rgb="FF000000"/>
        <rFont val="Arial"/>
        <family val="2"/>
      </rPr>
      <t>2</t>
    </r>
    <r>
      <rPr>
        <sz val="11"/>
        <color rgb="FF000000"/>
        <rFont val="Arial"/>
        <family val="2"/>
      </rPr>
      <t xml:space="preserve"> storage</t>
    </r>
  </si>
  <si>
    <t>No</t>
  </si>
  <si>
    <t>Is this a hybrid application?</t>
  </si>
  <si>
    <t xml:space="preserve">Emissions in the reference scenario associated with the use of inputs produced outside the reference system boundary. </t>
  </si>
  <si>
    <t>v6.0</t>
  </si>
  <si>
    <t>For further detailed information on how to do the calculation and on all conditions linked to the application and grant award, please refer to the Call Text and the Methodology for GHG Emission Avoidance Calculations. This tool is provided only as support. In case of divergence of the information or formulas between this tool and the Call Text and the Methodology, the latter texts take precedence.</t>
  </si>
  <si>
    <t>EII</t>
  </si>
  <si>
    <t>Category</t>
  </si>
  <si>
    <t>Calculator version</t>
  </si>
  <si>
    <t>Indicators</t>
  </si>
  <si>
    <t>Estimated values for the reference and project emissions and the absolute GHG emissions avoided during the first 10 year of operation, expressed in tCO2e.</t>
  </si>
  <si>
    <t>Hybrid projects should include in the calculator the sheet "Project emissions" and "Reference emissions" for each of the relevant categories, and report emissions in the table below by providing links as appropriate.</t>
  </si>
  <si>
    <t>Check that you are using the correct calculator for your project category.  See Table 1.1 of the GHG Methodology. --&gt;</t>
  </si>
  <si>
    <t>Check that the vertical sum corresponds to the horizontal sum. --&gt;</t>
  </si>
  <si>
    <t>Check that the value is consistent between the "Summary" and the "Summary per year" sheets. --&gt;</t>
  </si>
  <si>
    <r>
      <t>Ref</t>
    </r>
    <r>
      <rPr>
        <vertAlign val="subscript"/>
        <sz val="11"/>
        <color rgb="FF000000"/>
        <rFont val="Arial"/>
        <family val="2"/>
      </rPr>
      <t>y, EII</t>
    </r>
  </si>
  <si>
    <r>
      <t>Ref</t>
    </r>
    <r>
      <rPr>
        <vertAlign val="subscript"/>
        <sz val="11"/>
        <color rgb="FF000000"/>
        <rFont val="Arial"/>
        <family val="2"/>
      </rPr>
      <t>y, RES</t>
    </r>
  </si>
  <si>
    <r>
      <t>Ref</t>
    </r>
    <r>
      <rPr>
        <vertAlign val="subscript"/>
        <sz val="11"/>
        <color rgb="FF000000"/>
        <rFont val="Arial"/>
        <family val="2"/>
      </rPr>
      <t>y, ES</t>
    </r>
  </si>
  <si>
    <r>
      <t>Ref</t>
    </r>
    <r>
      <rPr>
        <vertAlign val="subscript"/>
        <sz val="11"/>
        <color rgb="FF000000"/>
        <rFont val="Arial"/>
        <family val="2"/>
      </rPr>
      <t>y, MOB</t>
    </r>
  </si>
  <si>
    <r>
      <t>Proj</t>
    </r>
    <r>
      <rPr>
        <vertAlign val="subscript"/>
        <sz val="11"/>
        <color rgb="FF000000"/>
        <rFont val="Arial"/>
        <family val="2"/>
      </rPr>
      <t>y, EII</t>
    </r>
  </si>
  <si>
    <r>
      <t>Proj</t>
    </r>
    <r>
      <rPr>
        <vertAlign val="subscript"/>
        <sz val="11"/>
        <color rgb="FF000000"/>
        <rFont val="Arial"/>
        <family val="2"/>
      </rPr>
      <t>y, RES</t>
    </r>
  </si>
  <si>
    <r>
      <t>Proj</t>
    </r>
    <r>
      <rPr>
        <vertAlign val="subscript"/>
        <sz val="11"/>
        <color rgb="FF000000"/>
        <rFont val="Arial"/>
        <family val="2"/>
      </rPr>
      <t>y, ES</t>
    </r>
  </si>
  <si>
    <r>
      <t>Proj</t>
    </r>
    <r>
      <rPr>
        <vertAlign val="subscript"/>
        <sz val="11"/>
        <color rgb="FF000000"/>
        <rFont val="Arial"/>
        <family val="2"/>
      </rPr>
      <t>y, MOB</t>
    </r>
  </si>
  <si>
    <t>Reference emissions summary</t>
  </si>
  <si>
    <t>Project emissions summary</t>
  </si>
  <si>
    <t>Sum of tCO2e</t>
  </si>
  <si>
    <t>GHG emissions in the project scenario</t>
  </si>
  <si>
    <t>Year 1
(t CO2e)</t>
  </si>
  <si>
    <t>Year 2
(t CO2e)</t>
  </si>
  <si>
    <t>Year 3
(t CO2e)</t>
  </si>
  <si>
    <t>Year 4
(t CO2e)</t>
  </si>
  <si>
    <t>Year 5
(t CO2e)</t>
  </si>
  <si>
    <t>Year 6
(t CO2e)</t>
  </si>
  <si>
    <t>Year 7
(t CO2e)</t>
  </si>
  <si>
    <t>Year 8
(t CO2e)</t>
  </si>
  <si>
    <t>Year 9
(t CO2e)</t>
  </si>
  <si>
    <t>Year 10
(t CO2e)</t>
  </si>
  <si>
    <t>CC credit Summary</t>
  </si>
  <si>
    <t>CC credit Calculation</t>
  </si>
  <si>
    <t>For hybrid applications, specify the other relevant project categories (RES, ES, MOB)</t>
  </si>
  <si>
    <t>Automated checks</t>
  </si>
  <si>
    <t xml:space="preserve">Streamlining throughout Calculator of explanatory text where it was redundant with the GHG Methodology document. Updated list of sectors and products in "Overview" sheet. "EII" added to some sheet titles to improve clarity on hybrid applications. Revisions to the 'General information' section in the "Summary" sheet. Revision of the way that the CC_credit term is included in the calculation. Restucturing of "Summary per year" sheet. Addition of automated checks to "Summary" and "Summary per year" sheets. Added protection to "Summary" and "Summary per year" sheets. Revision of some data in "Ref Conversion Factors" and "Proj Conversion Factors". Removal of "CC credit Assumptions" sheet (use general assumptions sheet) and "CC_credit Conversion factors" sheet (integrated to "Proj Conversion Factors"). Removal of CC_credit line from "Project emissions EII" sheet. Removal of "Checklist" sheet. </t>
  </si>
  <si>
    <t>Overview EII</t>
  </si>
  <si>
    <t>Project emissions EII</t>
  </si>
  <si>
    <t>Reference emissions EII</t>
  </si>
  <si>
    <t>Provides an overview of the spreadsheet for monitoring and reporting GHG avoided during the project's operation.</t>
  </si>
  <si>
    <t>Contains data and calculation of greenhouse gas emissions related to the reference scenario, and data traceability information.</t>
  </si>
  <si>
    <t>Contains data and calculation of greenhouse gas emissions related to the project activity, and data traceability information.</t>
  </si>
  <si>
    <t>CC credit overview</t>
  </si>
  <si>
    <t>Overview of the "CC credit calculation" sheet.</t>
  </si>
  <si>
    <t>CC credit calculation</t>
  </si>
  <si>
    <t>Contains data and calculation of greenhouse gas emissions related to the carbon capture credit, and data traceability information.</t>
  </si>
  <si>
    <t>Comment / Instruction</t>
  </si>
  <si>
    <r>
      <t xml:space="preserve">Check that you are using the </t>
    </r>
    <r>
      <rPr>
        <b/>
        <i/>
        <sz val="9"/>
        <rFont val="Arial"/>
        <family val="2"/>
      </rPr>
      <t>most recent version</t>
    </r>
    <r>
      <rPr>
        <i/>
        <sz val="9"/>
        <rFont val="Arial"/>
        <family val="2"/>
      </rPr>
      <t xml:space="preserve"> of the calculator.</t>
    </r>
  </si>
  <si>
    <t>Provides conversion and emission factors that can be adopted in the calculations. Applicants may adopt different values to those proposed, as long as supported with the adequate evidence and (where approriate) a monitoring plan.</t>
  </si>
  <si>
    <t>Buildings</t>
  </si>
  <si>
    <t>Various, please specify</t>
  </si>
  <si>
    <t>Other, please specify</t>
  </si>
  <si>
    <t>Presents a summary of the absolute and relative greenhouse gas emissions avoidance on a yearly basis, as well as the difference between the reported and the estimated values. Note that this sheet is protected to reduce the risk of accidental errors being introduced.</t>
  </si>
  <si>
    <t>Refer to section 1.2.5 of the GHG Methodology.</t>
  </si>
  <si>
    <t xml:space="preserve">Presents a summary of the absolute and relative greenhouse gas emissions avoidance. Note that this sheet is protected to reduce the risk of accidental errors being introduced. </t>
  </si>
  <si>
    <t>CC credit</t>
  </si>
  <si>
    <r>
      <t>CC</t>
    </r>
    <r>
      <rPr>
        <vertAlign val="subscript"/>
        <sz val="11"/>
        <color rgb="FF000000"/>
        <rFont val="Arial"/>
        <family val="2"/>
      </rPr>
      <t>credit</t>
    </r>
  </si>
  <si>
    <t>Check for positive absolute GHG emission avoidance</t>
  </si>
  <si>
    <t>Note: Make sure that all the checks in column "N" are marked 'OK', when preparing your calculations.</t>
  </si>
  <si>
    <t>Note: Make sure that also the checks in sheets "Project emissions", "Reference emissions", and "CC credit_calculation" are marked 'OK'.</t>
  </si>
  <si>
    <t>Ref. and Proj. Conversion factors</t>
  </si>
  <si>
    <r>
      <t>tCO</t>
    </r>
    <r>
      <rPr>
        <vertAlign val="subscript"/>
        <sz val="10"/>
        <rFont val="Arial"/>
        <family val="2"/>
      </rPr>
      <t>2</t>
    </r>
    <r>
      <rPr>
        <sz val="10"/>
        <rFont val="Arial"/>
        <family val="2"/>
      </rPr>
      <t>e / t</t>
    </r>
  </si>
  <si>
    <r>
      <t>gCO</t>
    </r>
    <r>
      <rPr>
        <vertAlign val="subscript"/>
        <sz val="10"/>
        <rFont val="Arial"/>
        <family val="2"/>
      </rPr>
      <t>2</t>
    </r>
    <r>
      <rPr>
        <sz val="10"/>
        <rFont val="Arial"/>
        <family val="2"/>
      </rPr>
      <t>e/kg</t>
    </r>
  </si>
  <si>
    <t>Based on the EF for combustion of natural gas according to COMMISSION IMPLEMENTING REGULATION (EU) 2018/2066 and a gas turbine with efficiency of 40%.</t>
  </si>
  <si>
    <r>
      <t>Carbon capture credit. It defines the net GHG benefit delivered by a project through CO</t>
    </r>
    <r>
      <rPr>
        <vertAlign val="subscript"/>
        <sz val="10"/>
        <color theme="1"/>
        <rFont val="Arial"/>
        <family val="2"/>
      </rPr>
      <t>2</t>
    </r>
    <r>
      <rPr>
        <sz val="10"/>
        <color theme="1"/>
        <rFont val="Arial"/>
        <family val="2"/>
      </rPr>
      <t xml:space="preserve"> storage or utilisation in year y. It is calculated as a positive term for inclusion in equation [1.1].</t>
    </r>
  </si>
  <si>
    <r>
      <t xml:space="preserve">This part of the tool supports the calculation of the credit (negative emissions) for projects with Carbon Capture and Storage (CCS) or Carbon Capture and Use (CCU) elements. The credit is included in the GHG avoidance calculations on the 'Summary per year' and 'Summary' sheets. 
In the unusual case that the reference scenario includes an element of carbon capture and storage or utilisation, then applicants should adapt the 'CC credit_calculation' sheet to separately calculate a carbon capture credit term for the project scenario and a carbon capture credit term for the reference scenario. Then, an overall carbon capture credit shall be defined as the difference between the carbon capture credit in the project scenario and the carbon credit in the reference scenario, for inclusion in the GHG avoidance calculations in the 'Summary per year' and 'Summary' sheets.
Project emissions due to transportation by road and maritime modals shall be quantified based on distance travelled data, type of modal and load. </t>
    </r>
    <r>
      <rPr>
        <b/>
        <sz val="10"/>
        <rFont val="Arial"/>
        <family val="2"/>
      </rPr>
      <t>For projects submitted to the IF in a small scale call, project emissions due to transportation by road, rail and maritime modals can be disregarded from the calculation of the GHG emissions avoidance, if the total distance between the point of capture and the point of storage is inferior to 5,000 kilometres.</t>
    </r>
  </si>
  <si>
    <r>
      <t>CC</t>
    </r>
    <r>
      <rPr>
        <vertAlign val="subscript"/>
        <sz val="11"/>
        <color rgb="FF000000"/>
        <rFont val="Arial"/>
        <family val="2"/>
      </rPr>
      <t>credit, y</t>
    </r>
  </si>
  <si>
    <t>Select here the principal product that is the main aim of the project. See Section 1.2 of the GHG Methodology.</t>
  </si>
  <si>
    <t>Fuels (incl. e-fuels, biofuels)</t>
  </si>
  <si>
    <t>Check that if hybrid application is selected there are non-zero emissions for at least one year in one other row on the ''Summary per year' sheet. Otherwise, check that they are zero. --&gt;</t>
  </si>
  <si>
    <t>01.11.2024</t>
  </si>
  <si>
    <r>
      <t>Amount of CO</t>
    </r>
    <r>
      <rPr>
        <vertAlign val="subscript"/>
        <sz val="10"/>
        <color theme="1"/>
        <rFont val="Arial"/>
        <family val="2"/>
      </rPr>
      <t>2</t>
    </r>
    <r>
      <rPr>
        <sz val="10"/>
        <color theme="1"/>
        <rFont val="Arial"/>
        <family val="2"/>
      </rPr>
      <t xml:space="preserve"> that is injected for permanent storage in year y, in tonnes CO</t>
    </r>
    <r>
      <rPr>
        <vertAlign val="subscript"/>
        <sz val="10"/>
        <color theme="1"/>
        <rFont val="Arial"/>
        <family val="2"/>
      </rPr>
      <t>2</t>
    </r>
    <r>
      <rPr>
        <sz val="10"/>
        <color theme="1"/>
        <rFont val="Arial"/>
        <family val="2"/>
      </rPr>
      <t>.</t>
    </r>
  </si>
  <si>
    <r>
      <t>Amount of CO</t>
    </r>
    <r>
      <rPr>
        <vertAlign val="subscript"/>
        <sz val="10"/>
        <rFont val="Arial"/>
        <family val="2"/>
      </rPr>
      <t>2</t>
    </r>
    <r>
      <rPr>
        <sz val="10"/>
        <rFont val="Arial"/>
        <family val="2"/>
      </rPr>
      <t xml:space="preserve"> that is incorporated into products in year y, in tonnes CO</t>
    </r>
    <r>
      <rPr>
        <vertAlign val="subscript"/>
        <sz val="10"/>
        <rFont val="Arial"/>
        <family val="2"/>
      </rPr>
      <t>2</t>
    </r>
    <r>
      <rPr>
        <sz val="10"/>
        <rFont val="Arial"/>
        <family val="2"/>
      </rPr>
      <t>e.</t>
    </r>
  </si>
  <si>
    <r>
      <t>GHG emissions from injection and geological storage of CO</t>
    </r>
    <r>
      <rPr>
        <vertAlign val="subscript"/>
        <sz val="10"/>
        <color theme="1"/>
        <rFont val="Arial"/>
        <family val="2"/>
      </rPr>
      <t>2</t>
    </r>
    <r>
      <rPr>
        <sz val="10"/>
        <color theme="1"/>
        <rFont val="Arial"/>
        <family val="2"/>
      </rPr>
      <t xml:space="preserve"> in a storage site.</t>
    </r>
  </si>
  <si>
    <r>
      <t>For projects in which CO</t>
    </r>
    <r>
      <rPr>
        <vertAlign val="subscript"/>
        <sz val="10"/>
        <color theme="1"/>
        <rFont val="Arial"/>
        <family val="2"/>
      </rPr>
      <t>2</t>
    </r>
    <r>
      <rPr>
        <sz val="10"/>
        <color theme="1"/>
        <rFont val="Arial"/>
        <family val="2"/>
      </rPr>
      <t xml:space="preserve"> injection and storage is associated with enhanced hydrocarbon recovery, emissions consistent with stoichiometric combustion of the associated fraction of the produced hydrocarbons.</t>
    </r>
  </si>
  <si>
    <r>
      <t>GHG emissions from transport of CO</t>
    </r>
    <r>
      <rPr>
        <vertAlign val="subscript"/>
        <sz val="10"/>
        <color theme="1"/>
        <rFont val="Arial"/>
        <family val="2"/>
      </rPr>
      <t>2</t>
    </r>
    <r>
      <rPr>
        <sz val="10"/>
        <color theme="1"/>
        <rFont val="Arial"/>
        <family val="2"/>
      </rPr>
      <t xml:space="preserve"> by pipelines, in tonnes CO</t>
    </r>
    <r>
      <rPr>
        <vertAlign val="subscript"/>
        <sz val="10"/>
        <color theme="1"/>
        <rFont val="Arial"/>
        <family val="2"/>
      </rPr>
      <t>2</t>
    </r>
    <r>
      <rPr>
        <sz val="10"/>
        <color theme="1"/>
        <rFont val="Arial"/>
        <family val="2"/>
      </rPr>
      <t>e.</t>
    </r>
  </si>
  <si>
    <r>
      <t>GHG emissions from transport of CO</t>
    </r>
    <r>
      <rPr>
        <vertAlign val="subscript"/>
        <sz val="10"/>
        <color theme="1"/>
        <rFont val="Arial"/>
        <family val="2"/>
      </rPr>
      <t>2</t>
    </r>
    <r>
      <rPr>
        <sz val="10"/>
        <color theme="1"/>
        <rFont val="Arial"/>
        <family val="2"/>
      </rPr>
      <t xml:space="preserve"> via road, rail or maritime modals in year y.</t>
    </r>
  </si>
  <si>
    <t>v6.1</t>
  </si>
  <si>
    <r>
      <t>GHG emissions from CO</t>
    </r>
    <r>
      <rPr>
        <vertAlign val="subscript"/>
        <sz val="10"/>
        <color theme="1"/>
        <rFont val="Arial"/>
        <family val="2"/>
      </rPr>
      <t>2</t>
    </r>
    <r>
      <rPr>
        <sz val="10"/>
        <color theme="1"/>
        <rFont val="Arial"/>
        <family val="2"/>
      </rPr>
      <t xml:space="preserve"> capture activities, in tonnes CO</t>
    </r>
    <r>
      <rPr>
        <vertAlign val="subscript"/>
        <sz val="10"/>
        <color theme="1"/>
        <rFont val="Arial"/>
        <family val="2"/>
      </rPr>
      <t>2</t>
    </r>
    <r>
      <rPr>
        <sz val="10"/>
        <color theme="1"/>
        <rFont val="Arial"/>
        <family val="2"/>
      </rPr>
      <t>e.</t>
    </r>
  </si>
  <si>
    <t>Corrected a glitch that caused some of the automatic checks in sheets "Summary per year", "Project emissions EII", "Reference emissions EII", and "CC credit calculation" to return an error even if the values matched. Corrected the description in cells B57 and B58 of sheet "Ref Conversion Factors EII" to align it to the GHG Methodology. Sheet "CC credit overview" streamlined to avoid duplication of information with the GHG Methodology.</t>
  </si>
  <si>
    <t>Net amount of electricity exported from the project, refer to section 1.4.3.1 of the GHG Methodology.</t>
  </si>
  <si>
    <t>31.01.2025</t>
  </si>
  <si>
    <t>v7.0</t>
  </si>
  <si>
    <t>03.12.2025</t>
  </si>
  <si>
    <t>Principal product</t>
  </si>
  <si>
    <t>Other products</t>
  </si>
  <si>
    <t>Function of principal product</t>
  </si>
  <si>
    <t>Reference product substituted by the principal product, if different</t>
  </si>
  <si>
    <t>Check that the chosen principal product is consistent with the chosen sector. --&gt;</t>
  </si>
  <si>
    <t>Product 2</t>
  </si>
  <si>
    <t>Product 3</t>
  </si>
  <si>
    <t>Reference Scenario</t>
  </si>
  <si>
    <t>Project Scenario</t>
  </si>
  <si>
    <r>
      <t>tCO</t>
    </r>
    <r>
      <rPr>
        <vertAlign val="subscript"/>
        <sz val="10"/>
        <rFont val="Arial"/>
        <family val="2"/>
      </rPr>
      <t>2</t>
    </r>
    <r>
      <rPr>
        <sz val="10"/>
        <rFont val="Arial"/>
        <family val="2"/>
      </rPr>
      <t xml:space="preserve">e / unit quantity of principal product </t>
    </r>
    <r>
      <rPr>
        <i/>
        <sz val="10"/>
        <color rgb="FFA6A6A6"/>
        <rFont val="Arial"/>
        <family val="2"/>
      </rPr>
      <t>[Please replace with adequate unit]</t>
    </r>
  </si>
  <si>
    <r>
      <t>tCO</t>
    </r>
    <r>
      <rPr>
        <vertAlign val="subscript"/>
        <sz val="10"/>
        <rFont val="Arial"/>
        <family val="2"/>
      </rPr>
      <t>2</t>
    </r>
    <r>
      <rPr>
        <sz val="10"/>
        <rFont val="Arial"/>
        <family val="2"/>
      </rPr>
      <t xml:space="preserve">e / unit quantity of product 2 </t>
    </r>
    <r>
      <rPr>
        <i/>
        <sz val="10"/>
        <color rgb="FFA6A6A6"/>
        <rFont val="Arial"/>
        <family val="2"/>
      </rPr>
      <t>[Please replace with adequate unit]</t>
    </r>
  </si>
  <si>
    <r>
      <t>tCO</t>
    </r>
    <r>
      <rPr>
        <vertAlign val="subscript"/>
        <sz val="10"/>
        <rFont val="Arial"/>
        <family val="2"/>
      </rPr>
      <t>2</t>
    </r>
    <r>
      <rPr>
        <sz val="10"/>
        <rFont val="Arial"/>
        <family val="2"/>
      </rPr>
      <t>e / unit quantity of product 3</t>
    </r>
    <r>
      <rPr>
        <i/>
        <sz val="10"/>
        <color rgb="FFA6A6A6"/>
        <rFont val="Arial"/>
        <family val="2"/>
      </rPr>
      <t xml:space="preserve"> [Please replace with adequate unit]</t>
    </r>
  </si>
  <si>
    <t>The quantity of reference product produced each year must provide an equivalent function to the corresponding product produced in the project scenario.</t>
  </si>
  <si>
    <t>Quantity of reference products produced per year</t>
  </si>
  <si>
    <t>The quantity of each product produced in the project scenario must provide an equivalent function to the corresponding reference product produced in the reference scenario.</t>
  </si>
  <si>
    <r>
      <rPr>
        <b/>
        <sz val="10"/>
        <rFont val="Arial"/>
        <family val="2"/>
      </rPr>
      <t>Quantity of products</t>
    </r>
    <r>
      <rPr>
        <sz val="10"/>
        <rFont val="Arial"/>
        <family val="2"/>
      </rPr>
      <t xml:space="preserve"> in the reference and project scenarios</t>
    </r>
  </si>
  <si>
    <r>
      <rPr>
        <b/>
        <sz val="10"/>
        <rFont val="Arial"/>
        <family val="2"/>
      </rPr>
      <t>Total emissions</t>
    </r>
    <r>
      <rPr>
        <sz val="10"/>
        <rFont val="Arial"/>
        <family val="2"/>
      </rPr>
      <t xml:space="preserve"> per unit of product in the reference and project scenarios. Including the credit for carbon capture and storage or utilisation in the project scenario.</t>
    </r>
  </si>
  <si>
    <r>
      <t>Note: The term CC</t>
    </r>
    <r>
      <rPr>
        <b/>
        <vertAlign val="subscript"/>
        <sz val="9"/>
        <color rgb="FFFF0000"/>
        <rFont val="Arial"/>
        <family val="2"/>
      </rPr>
      <t xml:space="preserve">credit </t>
    </r>
    <r>
      <rPr>
        <b/>
        <sz val="9"/>
        <color rgb="FFFF0000"/>
        <rFont val="Arial"/>
        <family val="2"/>
      </rPr>
      <t>should be zero, unless the project includes a component of carbon capture and storage or utilisation.</t>
    </r>
  </si>
  <si>
    <t>Emissions from pipeline transport of CO2. See Regulation (EU) 2018/2066, Annex IV, Section 22.</t>
  </si>
  <si>
    <t>Additional GHG indicators</t>
  </si>
  <si>
    <t>GHG emissions by scenario and life-cycle step</t>
  </si>
  <si>
    <t>Reference and project GHG emissions by life-cycle step during the first 10 years of operation, in tCO2e.</t>
  </si>
  <si>
    <r>
      <rPr>
        <b/>
        <sz val="10"/>
        <rFont val="Arial"/>
        <family val="2"/>
      </rPr>
      <t>Process emissions</t>
    </r>
    <r>
      <rPr>
        <sz val="10"/>
        <rFont val="Arial"/>
        <family val="2"/>
      </rPr>
      <t xml:space="preserve"> per unit of product in the reference and project scenarios. Including the credit for carbon capture and storage or utilisation in the project scenario. </t>
    </r>
    <r>
      <rPr>
        <b/>
        <sz val="10"/>
        <color rgb="FFFF0000"/>
        <rFont val="Arial"/>
        <family val="2"/>
      </rPr>
      <t>Refer to the Call Text for the corresponding minimum requirement, where applicable.</t>
    </r>
  </si>
  <si>
    <t>Avoided emissions</t>
  </si>
  <si>
    <r>
      <t>Proj - CC</t>
    </r>
    <r>
      <rPr>
        <b/>
        <vertAlign val="subscript"/>
        <sz val="11"/>
        <color rgb="FFFFFFFF"/>
        <rFont val="Arial"/>
        <family val="2"/>
      </rPr>
      <t>credit</t>
    </r>
  </si>
  <si>
    <t xml:space="preserve">When the principal product performs the same function as a conventional product to which it is not identical please identify the substituted reference product here. </t>
  </si>
  <si>
    <t xml:space="preserve">The applicants shall provide in the GHG calculator a detailed process diagram for the project and reference scenarios, indicating all the sub-processes, inputs, and products for both scenarios. The diagram shall clearly indicate the system boundary and should include quantities of material and energy flows where relevant. The applicants should develop the process diagram to adequately represent the complexity of their project. See Methodology section 2.2.4. </t>
  </si>
  <si>
    <t>Total EII</t>
  </si>
  <si>
    <t>Emissions in the reference scenario associated with processes required to provide the same product(s) that is(are) produced by the project.</t>
  </si>
  <si>
    <t xml:space="preserve">Emissions in the project scenario associated with processes required to provide the product(s). </t>
  </si>
  <si>
    <t xml:space="preserve">Where a project is associated with savings in use of the product(s),  then the change to in-use emissions for the project scenario should be included here (in-use combustion emissions are counted in the combustion box). </t>
  </si>
  <si>
    <t>This tool supports the calculation of GHG emission avoidance from projects in energy intensive industries under the Innovation Fund (IF), including carbon capture and utilisation (CCU), production of biofuels, and substitute products.
The absolute GHG emission avoidance of a project applying for the IF is calculated by comparing a scenario including the proposed project with a reference scenario without the project.
The reference scenario includes the alternative process(es) that produce products that provide the same or equivalent function(s) as the project’s product(s) in the absence of the project.</t>
  </si>
  <si>
    <t>Quantity of product produced per year</t>
  </si>
  <si>
    <t>Multiplier</t>
  </si>
  <si>
    <t xml:space="preserve">Cost share of the innovative component as a fraction of the total capital cost of the relevant facility or retail price of the consumer product, </t>
  </si>
  <si>
    <t>%</t>
  </si>
  <si>
    <t>Please verify that the horizontal sum per year and the vertical sum per contribution yield the same result as the grand total in the pivot table (noting that for component manufacturing projects the vertical sum needs to be adjusted for cost share when making this check)</t>
  </si>
  <si>
    <r>
      <t>Dolime or calcined dolomite as mixture of calcium and magnesium oxides produced by the decarbonation of dolomite (CaCO3.MgCO3) with a residual CO</t>
    </r>
    <r>
      <rPr>
        <vertAlign val="subscript"/>
        <sz val="10"/>
        <color theme="1"/>
        <rFont val="Arial"/>
        <family val="2"/>
      </rPr>
      <t>2</t>
    </r>
    <r>
      <rPr>
        <sz val="10"/>
        <color theme="1"/>
        <rFont val="Arial"/>
        <family val="2"/>
      </rPr>
      <t xml:space="preserve"> exceeding 0,25 %, a free MgO content between 25 % and 40 % and a bulk density of the commercial product below 3,05 g/cm3. Dolime shall be expressed as ‘standard pure dolime’ quality with a free CaO content of 57,4 % and a free MgO content of 38,0 %</t>
    </r>
  </si>
  <si>
    <r>
      <t>Mix of refinery products with more than 40 % light products (motor spirit (gasoline) including aviation spirit, spirit type (gasoline type) jet fuel, other light petroleum oils/light preparations, kerosene including kerosene type jet fuel, gas oils) expressed as CO</t>
    </r>
    <r>
      <rPr>
        <vertAlign val="subscript"/>
        <sz val="10"/>
        <color theme="1"/>
        <rFont val="Arial"/>
        <family val="2"/>
      </rPr>
      <t>2</t>
    </r>
    <r>
      <rPr>
        <sz val="10"/>
        <color theme="1"/>
        <rFont val="Arial"/>
        <family val="2"/>
      </rPr>
      <t xml:space="preserve"> weighted tonne (CWT)</t>
    </r>
  </si>
  <si>
    <r>
      <t>Mix of aromatics expressed as CO</t>
    </r>
    <r>
      <rPr>
        <vertAlign val="subscript"/>
        <sz val="10"/>
        <color theme="1"/>
        <rFont val="Arial"/>
        <family val="2"/>
      </rPr>
      <t>2</t>
    </r>
    <r>
      <rPr>
        <sz val="10"/>
        <color theme="1"/>
        <rFont val="Arial"/>
        <family val="2"/>
      </rPr>
      <t xml:space="preserve"> weighted tonne (CWT)</t>
    </r>
  </si>
  <si>
    <r>
      <t>tCO</t>
    </r>
    <r>
      <rPr>
        <vertAlign val="subscript"/>
        <sz val="10"/>
        <rFont val="Arial"/>
        <family val="2"/>
      </rPr>
      <t>2</t>
    </r>
    <r>
      <rPr>
        <sz val="10"/>
        <rFont val="Arial"/>
        <family val="2"/>
      </rPr>
      <t>e / TJ</t>
    </r>
  </si>
  <si>
    <r>
      <t>tCO</t>
    </r>
    <r>
      <rPr>
        <vertAlign val="subscript"/>
        <sz val="10"/>
        <rFont val="Arial"/>
        <family val="2"/>
      </rPr>
      <t>2</t>
    </r>
    <r>
      <rPr>
        <sz val="10"/>
        <rFont val="Arial"/>
        <family val="2"/>
      </rPr>
      <t>e/TJ</t>
    </r>
  </si>
  <si>
    <t>Textiles</t>
  </si>
  <si>
    <t>Heat as input</t>
  </si>
  <si>
    <r>
      <t>Emissions in the reference scenario from End of Life (EoL) of products.
Where carbon is incorporated into products, CO</t>
    </r>
    <r>
      <rPr>
        <vertAlign val="subscript"/>
        <sz val="10"/>
        <color rgb="FF000000"/>
        <rFont val="Arial"/>
        <family val="2"/>
      </rPr>
      <t>2</t>
    </r>
    <r>
      <rPr>
        <sz val="10"/>
        <color rgb="FF000000"/>
        <rFont val="Arial"/>
        <family val="2"/>
      </rPr>
      <t xml:space="preserve"> emissions from eventual carbon release (including by combustion of those products) shall be included in the “end-of-life” box following the rules in methodology section 2.2.9. </t>
    </r>
  </si>
  <si>
    <r>
      <t>56.2 tCO</t>
    </r>
    <r>
      <rPr>
        <vertAlign val="subscript"/>
        <sz val="10"/>
        <rFont val="Arial"/>
        <family val="2"/>
      </rPr>
      <t>2</t>
    </r>
    <r>
      <rPr>
        <sz val="10"/>
        <rFont val="Arial"/>
        <family val="2"/>
      </rPr>
      <t xml:space="preserve">/TJ times 0.0036 TJ/MWh. </t>
    </r>
  </si>
  <si>
    <t>In case more than one product is present, adjust the formula as needed so that only the relevant process emissions are included on each line. In case that the production unit is different for the reference and project products (e.g. in case of equivalent function) indicate the relevant unit for each scenario.</t>
  </si>
  <si>
    <t xml:space="preserve">Note: for many projects the reference emissions for processes will be based on an EU ETS benchmark, fossil fuel comparator or other natural-gas-based fossil fuel default (e.g. methane, methanol). In these cases there is no need to further disaggregate process emissions, and often there will be no emissions in the inputs  or end of life boxes. Note though that there may still be input emissions to include in the case where the reference is based on an EU ETS benchmark. </t>
  </si>
  <si>
    <t>Number of components</t>
  </si>
  <si>
    <t>years of use of the component</t>
  </si>
  <si>
    <t>Number of components produced and supplied to the market for each year of operation of the project.</t>
  </si>
  <si>
    <t>Applicable use period of the manufactured innovative component.</t>
  </si>
  <si>
    <t>N</t>
  </si>
  <si>
    <t>UP</t>
  </si>
  <si>
    <t>Please reduce if the lifetime of the component is shorter than 5 years.</t>
  </si>
  <si>
    <t>Same as in the reference scenario</t>
  </si>
  <si>
    <r>
      <t>CS</t>
    </r>
    <r>
      <rPr>
        <vertAlign val="subscript"/>
        <sz val="11"/>
        <color rgb="FF000000"/>
        <rFont val="Arial"/>
        <family val="2"/>
      </rPr>
      <t>component</t>
    </r>
  </si>
  <si>
    <r>
      <t>Emissions in the project scenario from End of Life (EoL) of products. Where carbon is incorporated into products, CO</t>
    </r>
    <r>
      <rPr>
        <vertAlign val="subscript"/>
        <sz val="10"/>
        <color rgb="FF000000"/>
        <rFont val="Arial"/>
        <family val="2"/>
      </rPr>
      <t>2</t>
    </r>
    <r>
      <rPr>
        <sz val="10"/>
        <color rgb="FF000000"/>
        <rFont val="Arial"/>
        <family val="2"/>
      </rPr>
      <t xml:space="preserve"> emissions from eventual carbon release (including through combustion of those products as fuels) shall be included in the “end-of-life” box following the rules in methodology section 2.2.9.  If there are other significant changes in expected end of life emissions associated with the project they may also be included here (if there is no expected change in other end of life emissions they need not be considered).</t>
    </r>
  </si>
  <si>
    <t>In case more than one product is present, adjust the formula as needed so that only the relevant emissions are included on each line. In case that the production unit is different for the reference and project products (e.g. in case of equivalent function) indicate the relevant unit for each scenario.</t>
  </si>
  <si>
    <t>Emission 
Source</t>
  </si>
  <si>
    <t>Unit of measure</t>
  </si>
  <si>
    <t>Parameter</t>
  </si>
  <si>
    <t>[Please specify]</t>
  </si>
  <si>
    <t>Quantity of Reference Product 1 (replaced by the principal product)</t>
  </si>
  <si>
    <t>Quantity of Reference Product 2</t>
  </si>
  <si>
    <t>Quantity of Reference Product 3</t>
  </si>
  <si>
    <t>Quantity of Principal Product</t>
  </si>
  <si>
    <t>Quantity of Product 2</t>
  </si>
  <si>
    <t>Quantity of Product 3</t>
  </si>
  <si>
    <t>Please verify that the horizontal sum per year and the vertical sum per contribution yield the same result as the grand total in the pivot table</t>
  </si>
  <si>
    <t>Parameter to be monitored / not monitored</t>
  </si>
  <si>
    <t>Data source for monitoring</t>
  </si>
  <si>
    <t>Department responsible for collection and archiving</t>
  </si>
  <si>
    <t>Monitoring approach and equipment used, including details on accuracy and calibration</t>
  </si>
  <si>
    <t>Operational data</t>
  </si>
  <si>
    <t>Emission source</t>
  </si>
  <si>
    <t>Comments about GHG emissions</t>
  </si>
  <si>
    <t>Comments about operational data</t>
  </si>
  <si>
    <t>Default factors for EII reference emissions</t>
  </si>
  <si>
    <t>Default factors for EII project emissions</t>
  </si>
  <si>
    <r>
      <t>Default factors for CO</t>
    </r>
    <r>
      <rPr>
        <b/>
        <vertAlign val="subscript"/>
        <sz val="12"/>
        <rFont val="Arial"/>
        <family val="2"/>
      </rPr>
      <t>2</t>
    </r>
    <r>
      <rPr>
        <b/>
        <sz val="12"/>
        <rFont val="Arial"/>
        <family val="2"/>
      </rPr>
      <t xml:space="preserve"> transport</t>
    </r>
  </si>
  <si>
    <t>Calculation of the credit</t>
  </si>
  <si>
    <r>
      <t xml:space="preserve">Inputs </t>
    </r>
    <r>
      <rPr>
        <i/>
        <sz val="11"/>
        <rFont val="Arial"/>
        <family val="2"/>
      </rPr>
      <t>[add rows as needed]</t>
    </r>
  </si>
  <si>
    <r>
      <t xml:space="preserve">Processes </t>
    </r>
    <r>
      <rPr>
        <sz val="11"/>
        <rFont val="Arial"/>
        <family val="2"/>
      </rPr>
      <t>[add rows as needed]</t>
    </r>
  </si>
  <si>
    <r>
      <t xml:space="preserve">Change to in-use </t>
    </r>
    <r>
      <rPr>
        <i/>
        <sz val="11"/>
        <rFont val="Arial"/>
        <family val="2"/>
      </rPr>
      <t>[add rows as needed]</t>
    </r>
  </si>
  <si>
    <r>
      <t xml:space="preserve">End-Of-Life </t>
    </r>
    <r>
      <rPr>
        <i/>
        <sz val="11"/>
        <rFont val="Arial"/>
        <family val="2"/>
      </rPr>
      <t>[add rows as needed]</t>
    </r>
  </si>
  <si>
    <r>
      <t xml:space="preserve">Multipliers for projects manufacturing electrolysers and their components </t>
    </r>
    <r>
      <rPr>
        <i/>
        <sz val="11"/>
        <rFont val="Arial"/>
        <family val="2"/>
      </rPr>
      <t>[add rows as needed]</t>
    </r>
  </si>
  <si>
    <r>
      <t xml:space="preserve">Inputs </t>
    </r>
    <r>
      <rPr>
        <i/>
        <sz val="11"/>
        <rFont val="Arial"/>
        <family val="2"/>
      </rPr>
      <t>[add rows needed]</t>
    </r>
  </si>
  <si>
    <r>
      <t xml:space="preserve">Processes </t>
    </r>
    <r>
      <rPr>
        <i/>
        <sz val="11"/>
        <rFont val="Arial"/>
        <family val="2"/>
      </rPr>
      <t>[add rows as needed]</t>
    </r>
  </si>
  <si>
    <t>Removed sheets "Net carbon removals" and "Other GHG savings" as no longer applicable. Removed sheet "Reporting table" as not relevant at the application stage. Removed sheet "Example GHG" as redundant. In sheet "Summary": adjusted the relative GHG emission avoidance formula for alignment with the current version of the Methodology; adjusted the "General information" section for alignment to the new definition of principal product, and added new lines to the "Additional GHG indicators" section to calculate process and project emissions per unit of product. In sheets "Reference emissions EII" and "Project emissions EII", added new lines to indicate the volume of products produced each year in each scenario, added new lines dedicated to the multipliers needed to perform calculations for projects manufacturing electrolysers and their components, and removed lines dedicated to "combustion (principal product)", "non-principal products", and "timed operation credit" to align the calculator to the current provisions of the Methodology. Homogenised the "Data traceability" section across sheets "Reference emissions", "Project emissions", "Conversion factors", "CC credit calculations", and "Assumptions".</t>
  </si>
  <si>
    <r>
      <t xml:space="preserve">- The </t>
    </r>
    <r>
      <rPr>
        <b/>
        <i/>
        <sz val="9"/>
        <rFont val="Arial"/>
        <family val="2"/>
      </rPr>
      <t>concept of “function”</t>
    </r>
    <r>
      <rPr>
        <i/>
        <sz val="9"/>
        <rFont val="Arial"/>
        <family val="2"/>
      </rPr>
      <t xml:space="preserve"> is added because an innovative product may not be identical to existing ones, but provide the same function. 
- This line can also be used to </t>
    </r>
    <r>
      <rPr>
        <b/>
        <i/>
        <sz val="9"/>
        <rFont val="Arial"/>
        <family val="2"/>
      </rPr>
      <t>specify the principal product, e.g. if 'other' or 'various' is selected above.</t>
    </r>
  </si>
  <si>
    <t>List here the other products that are not the main aim of the project, and specify their function or the reference product substituted if needed. See Section 1.2 of the Methodology.</t>
  </si>
  <si>
    <t>Default CAPEX assumption for manufacturing projects</t>
  </si>
  <si>
    <t>Default CAPEX assumption for electrolyser installations</t>
  </si>
  <si>
    <t>Renewable hydrogen as input</t>
  </si>
  <si>
    <t>Low-carbon hydrogen as input</t>
  </si>
  <si>
    <t>RFNBOs other than hydrogen as inputs</t>
  </si>
  <si>
    <t>RFNBOs other than hydrogen</t>
  </si>
  <si>
    <t>Low carbon fuels (LCFs) other than hydrogen as inputs</t>
  </si>
  <si>
    <t>LCFs other than hydrogen</t>
  </si>
  <si>
    <t>JRC own calculation agreeing with that of M.L. Perez et al. Low Carbon Economy, 2012, 3, 21-33. http://dx.doi.org/10.4236/lce.2012.31004</t>
  </si>
  <si>
    <t>Tool to support the calculation of GHG emission avoidance from energy intensive industry (EII) projects under the Innovation Fund (v7.0 |  03.12.2025)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</si>
</sst>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2]\ * #,##0.00_ ;_ [$€-2]\ * \-#,##0.00_ ;_ [$€-2]\ * &quot;-&quot;??_ "/>
    <numFmt numFmtId="166" formatCode="_-* #,##0.0_-;\-* #,##0.0_-;_-* &quot;-&quot;??_-;_-@_-"/>
    <numFmt numFmtId="167" formatCode="_ [$€-2]\ * #,##0.000000000000_ ;_ [$€-2]\ * \-#,##0.000000000000_ ;_ [$€-2]\ * &quot;-&quot;??_ "/>
    <numFmt numFmtId="168" formatCode="_-* #,##0.000_-;\-* #,##0.000_-;_-* &quot;-&quot;??_-;_-@_-"/>
    <numFmt numFmtId="169" formatCode="#,##0_ ;\-#,##0\ "/>
    <numFmt numFmtId="170" formatCode="#,##0.00_ ;\-#,##0.00\ "/>
    <numFmt numFmtId="171" formatCode="_-* #,##0_-;\-* #,##0_-;_-* &quot;-&quot;??_-;_-@_-"/>
  </numFmts>
  <fonts count="55" x14ac:knownFonts="1">
    <font>
      <sz val="11"/>
      <color theme="1"/>
      <name val="Calibri"/>
      <family val="2"/>
      <scheme val="minor"/>
    </font>
    <font>
      <sz val="11"/>
      <color theme="1"/>
      <name val="Calibri"/>
      <family val="2"/>
      <scheme val="minor"/>
    </font>
    <font>
      <u/>
      <sz val="11"/>
      <color theme="10"/>
      <name val="Calibri"/>
      <family val="2"/>
      <scheme val="minor"/>
    </font>
    <font>
      <sz val="10"/>
      <name val="Arial"/>
      <family val="2"/>
    </font>
    <font>
      <sz val="10"/>
      <color theme="1"/>
      <name val="Arial"/>
      <family val="2"/>
    </font>
    <font>
      <b/>
      <sz val="10"/>
      <color rgb="FFFFFFFF"/>
      <name val="Arial"/>
      <family val="2"/>
    </font>
    <font>
      <sz val="10"/>
      <color rgb="FF000000"/>
      <name val="Arial"/>
      <family val="2"/>
    </font>
    <font>
      <vertAlign val="subscript"/>
      <sz val="10"/>
      <color theme="1"/>
      <name val="Arial"/>
      <family val="2"/>
    </font>
    <font>
      <sz val="8"/>
      <name val="Calibri"/>
      <family val="2"/>
      <scheme val="minor"/>
    </font>
    <font>
      <u/>
      <sz val="10"/>
      <color theme="10"/>
      <name val="Arial"/>
      <family val="2"/>
    </font>
    <font>
      <b/>
      <sz val="8"/>
      <color rgb="FFFFFFFF"/>
      <name val="Arial"/>
      <family val="2"/>
    </font>
    <font>
      <sz val="8"/>
      <name val="Arial"/>
      <family val="2"/>
    </font>
    <font>
      <b/>
      <sz val="11"/>
      <color theme="1"/>
      <name val="Arial"/>
      <family val="2"/>
    </font>
    <font>
      <sz val="11"/>
      <color theme="1"/>
      <name val="Arial"/>
      <family val="2"/>
    </font>
    <font>
      <b/>
      <sz val="20"/>
      <color theme="1"/>
      <name val="Arial"/>
      <family val="2"/>
    </font>
    <font>
      <vertAlign val="subscript"/>
      <sz val="10"/>
      <name val="Arial"/>
      <family val="2"/>
    </font>
    <font>
      <vertAlign val="superscript"/>
      <sz val="10"/>
      <name val="Verdana"/>
      <family val="2"/>
    </font>
    <font>
      <b/>
      <sz val="11"/>
      <color rgb="FFFFFFFF"/>
      <name val="Arial"/>
      <family val="2"/>
    </font>
    <font>
      <sz val="11"/>
      <color rgb="FF000000"/>
      <name val="Arial"/>
      <family val="2"/>
    </font>
    <font>
      <sz val="11"/>
      <color rgb="FF000000"/>
      <name val="Verdana"/>
      <family val="2"/>
    </font>
    <font>
      <sz val="11"/>
      <name val="Arial"/>
      <family val="2"/>
    </font>
    <font>
      <vertAlign val="subscript"/>
      <sz val="11"/>
      <color rgb="FF000000"/>
      <name val="Arial"/>
      <family val="2"/>
    </font>
    <font>
      <b/>
      <sz val="11"/>
      <name val="Arial"/>
      <family val="2"/>
    </font>
    <font>
      <sz val="11"/>
      <color rgb="FFFFFFFF"/>
      <name val="Arial"/>
      <family val="2"/>
    </font>
    <font>
      <b/>
      <sz val="10"/>
      <color rgb="FFFF0000"/>
      <name val="Arial"/>
      <family val="2"/>
    </font>
    <font>
      <b/>
      <sz val="11"/>
      <color rgb="FFFF0000"/>
      <name val="Arial"/>
      <family val="2"/>
    </font>
    <font>
      <b/>
      <sz val="10"/>
      <name val="Arial"/>
      <family val="2"/>
    </font>
    <font>
      <i/>
      <sz val="11"/>
      <name val="Arial"/>
      <family val="2"/>
    </font>
    <font>
      <sz val="9"/>
      <color theme="1"/>
      <name val="Arial"/>
      <family val="2"/>
    </font>
    <font>
      <b/>
      <sz val="10"/>
      <color theme="1"/>
      <name val="Arial"/>
      <family val="2"/>
    </font>
    <font>
      <i/>
      <sz val="10"/>
      <color theme="1"/>
      <name val="Arial"/>
      <family val="2"/>
    </font>
    <font>
      <i/>
      <sz val="10"/>
      <name val="Arial"/>
      <family val="2"/>
    </font>
    <font>
      <i/>
      <sz val="10"/>
      <color rgb="FFA6A6A6"/>
      <name val="Arial"/>
      <family val="2"/>
    </font>
    <font>
      <i/>
      <sz val="9"/>
      <name val="Arial"/>
      <family val="2"/>
    </font>
    <font>
      <vertAlign val="subscript"/>
      <sz val="10"/>
      <color rgb="FF000000"/>
      <name val="Arial"/>
      <family val="2"/>
    </font>
    <font>
      <vertAlign val="subscript"/>
      <sz val="11"/>
      <color theme="1"/>
      <name val="Calibri"/>
      <family val="2"/>
      <scheme val="minor"/>
    </font>
    <font>
      <b/>
      <vertAlign val="subscript"/>
      <sz val="10"/>
      <color rgb="FFFFFFFF"/>
      <name val="Arial"/>
      <family val="2"/>
    </font>
    <font>
      <sz val="10"/>
      <color theme="0" tint="-0.34998626667073579"/>
      <name val="Arial"/>
      <family val="2"/>
    </font>
    <font>
      <vertAlign val="subscript"/>
      <sz val="11"/>
      <color theme="1"/>
      <name val="Arial"/>
      <family val="2"/>
    </font>
    <font>
      <b/>
      <sz val="11"/>
      <color theme="0"/>
      <name val="Arial"/>
      <family val="2"/>
    </font>
    <font>
      <b/>
      <sz val="11"/>
      <color theme="0"/>
      <name val="Calibri"/>
      <family val="2"/>
      <scheme val="minor"/>
    </font>
    <font>
      <vertAlign val="subscript"/>
      <sz val="11"/>
      <color rgb="FFFFFFFF"/>
      <name val="Arial"/>
      <family val="2"/>
    </font>
    <font>
      <b/>
      <i/>
      <sz val="9"/>
      <name val="Arial"/>
      <family val="2"/>
    </font>
    <font>
      <sz val="9"/>
      <name val="Arial"/>
      <family val="2"/>
    </font>
    <font>
      <b/>
      <sz val="9"/>
      <color rgb="FFFF0000"/>
      <name val="Arial"/>
      <family val="2"/>
    </font>
    <font>
      <b/>
      <vertAlign val="subscript"/>
      <sz val="9"/>
      <color rgb="FFFF0000"/>
      <name val="Arial"/>
      <family val="2"/>
    </font>
    <font>
      <sz val="9"/>
      <color rgb="FF000000"/>
      <name val="Arial"/>
      <family val="2"/>
    </font>
    <font>
      <i/>
      <sz val="11"/>
      <color rgb="FF000000"/>
      <name val="Arial"/>
      <family val="2"/>
    </font>
    <font>
      <b/>
      <sz val="9"/>
      <name val="Arial"/>
      <family val="2"/>
    </font>
    <font>
      <b/>
      <vertAlign val="subscript"/>
      <sz val="11"/>
      <color rgb="FFFFFFFF"/>
      <name val="Arial"/>
      <family val="2"/>
    </font>
    <font>
      <b/>
      <i/>
      <sz val="11"/>
      <color rgb="FFFFFFFF"/>
      <name val="Arial"/>
      <family val="2"/>
    </font>
    <font>
      <i/>
      <sz val="10"/>
      <color rgb="FF000000"/>
      <name val="Arial"/>
      <family val="2"/>
    </font>
    <font>
      <b/>
      <sz val="12"/>
      <name val="Arial"/>
      <family val="2"/>
    </font>
    <font>
      <b/>
      <vertAlign val="subscript"/>
      <sz val="12"/>
      <name val="Arial"/>
      <family val="2"/>
    </font>
    <font>
      <sz val="10"/>
      <name val="Helvetica"/>
    </font>
  </fonts>
  <fills count="23">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indexed="9"/>
        <bgColor indexed="64"/>
      </patternFill>
    </fill>
    <fill>
      <patternFill patternType="solid">
        <fgColor rgb="FF00538B"/>
        <bgColor indexed="64"/>
      </patternFill>
    </fill>
    <fill>
      <patternFill patternType="solid">
        <fgColor rgb="FFFFFFFF"/>
        <bgColor indexed="64"/>
      </patternFill>
    </fill>
    <fill>
      <patternFill patternType="solid">
        <fgColor theme="0" tint="-0.499984740745262"/>
        <bgColor indexed="64"/>
      </patternFill>
    </fill>
    <fill>
      <patternFill patternType="solid">
        <fgColor rgb="FF555759"/>
        <bgColor indexed="64"/>
      </patternFill>
    </fill>
    <fill>
      <patternFill patternType="solid">
        <fgColor rgb="FFEDFFC4"/>
        <bgColor indexed="64"/>
      </patternFill>
    </fill>
    <fill>
      <patternFill patternType="solid">
        <fgColor theme="0" tint="-0.249977111117893"/>
        <bgColor indexed="64"/>
      </patternFill>
    </fill>
    <fill>
      <patternFill patternType="solid">
        <fgColor theme="4" tint="-0.499984740745262"/>
        <bgColor theme="4" tint="-0.499984740745262"/>
      </patternFill>
    </fill>
    <fill>
      <patternFill patternType="solid">
        <fgColor theme="4" tint="0.59999389629810485"/>
        <bgColor theme="4" tint="0.59999389629810485"/>
      </patternFill>
    </fill>
    <fill>
      <patternFill patternType="solid">
        <fgColor rgb="FFFFFFFF"/>
        <bgColor rgb="FF000000"/>
      </patternFill>
    </fill>
    <fill>
      <patternFill patternType="solid">
        <fgColor rgb="FFBFBFBF"/>
        <bgColor indexed="64"/>
      </patternFill>
    </fill>
    <fill>
      <patternFill patternType="lightUp">
        <fgColor theme="2" tint="-0.749961851863155"/>
        <bgColor theme="0" tint="-0.24994659260841701"/>
      </patternFill>
    </fill>
    <fill>
      <patternFill patternType="solid">
        <fgColor theme="0"/>
        <bgColor theme="4" tint="-0.499984740745262"/>
      </patternFill>
    </fill>
    <fill>
      <patternFill patternType="solid">
        <fgColor theme="9" tint="0.59999389629810485"/>
        <bgColor theme="4" tint="0.59999389629810485"/>
      </patternFill>
    </fill>
    <fill>
      <patternFill patternType="solid">
        <fgColor rgb="FFD9D9D9"/>
        <bgColor indexed="64"/>
      </patternFill>
    </fill>
    <fill>
      <patternFill patternType="solid">
        <fgColor theme="9" tint="0.39997558519241921"/>
        <bgColor indexed="64"/>
      </patternFill>
    </fill>
  </fills>
  <borders count="35">
    <border>
      <left/>
      <right/>
      <top/>
      <bottom/>
      <diagonal/>
    </border>
    <border>
      <left/>
      <right/>
      <top/>
      <bottom style="thin">
        <color indexed="64"/>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right/>
      <top/>
      <bottom style="medium">
        <color theme="0" tint="-0.249977111117893"/>
      </bottom>
      <diagonal/>
    </border>
    <border>
      <left/>
      <right style="medium">
        <color rgb="FFD8E0E3"/>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style="medium">
        <color theme="0" tint="-0.249977111117893"/>
      </left>
      <right/>
      <top/>
      <bottom style="medium">
        <color theme="0" tint="-0.249977111117893"/>
      </bottom>
      <diagonal/>
    </border>
    <border>
      <left/>
      <right style="medium">
        <color theme="0" tint="-0.249977111117893"/>
      </right>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right/>
      <top/>
      <bottom style="medium">
        <color rgb="FF95D600"/>
      </bottom>
      <diagonal/>
    </border>
    <border>
      <left style="hair">
        <color rgb="FFBBBCBD"/>
      </left>
      <right style="hair">
        <color rgb="FFBBBCBD"/>
      </right>
      <top style="hair">
        <color rgb="FFBBBCBD"/>
      </top>
      <bottom style="hair">
        <color rgb="FFBBBCBD"/>
      </bottom>
      <diagonal/>
    </border>
    <border>
      <left style="medium">
        <color theme="0" tint="-0.249977111117893"/>
      </left>
      <right style="medium">
        <color theme="0" tint="-0.249977111117893"/>
      </right>
      <top style="medium">
        <color theme="0" tint="-0.249977111117893"/>
      </top>
      <bottom/>
      <diagonal/>
    </border>
    <border>
      <left style="medium">
        <color theme="0" tint="-0.249977111117893"/>
      </left>
      <right style="medium">
        <color theme="0" tint="-0.249977111117893"/>
      </right>
      <top/>
      <bottom style="medium">
        <color theme="0" tint="-0.249977111117893"/>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4"/>
      </bottom>
      <diagonal/>
    </border>
    <border>
      <left/>
      <right/>
      <top style="thin">
        <color theme="4" tint="0.79998168889431442"/>
      </top>
      <bottom style="thin">
        <color theme="4" tint="0.79998168889431442"/>
      </bottom>
      <diagonal/>
    </border>
    <border>
      <left style="thin">
        <color indexed="64"/>
      </left>
      <right/>
      <top style="thin">
        <color indexed="64"/>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style="medium">
        <color theme="0" tint="-0.249977111117893"/>
      </left>
      <right/>
      <top/>
      <bottom/>
      <diagonal/>
    </border>
    <border>
      <left/>
      <right/>
      <top/>
      <bottom style="medium">
        <color rgb="FFBFBFBF"/>
      </bottom>
      <diagonal/>
    </border>
    <border>
      <left style="thin">
        <color indexed="64"/>
      </left>
      <right style="thin">
        <color indexed="64"/>
      </right>
      <top style="thin">
        <color indexed="64"/>
      </top>
      <bottom/>
      <diagonal/>
    </border>
    <border>
      <left/>
      <right style="medium">
        <color rgb="FFD8E0E3"/>
      </right>
      <top/>
      <bottom style="medium">
        <color rgb="FFD8E0E3"/>
      </bottom>
      <diagonal/>
    </border>
    <border>
      <left style="medium">
        <color theme="0" tint="-0.249977111117893"/>
      </left>
      <right/>
      <top style="medium">
        <color theme="0" tint="-0.249977111117893"/>
      </top>
      <bottom/>
      <diagonal/>
    </border>
    <border>
      <left/>
      <right/>
      <top style="thin">
        <color theme="4" tint="0.79998168889431442"/>
      </top>
      <bottom/>
      <diagonal/>
    </border>
    <border>
      <left style="thin">
        <color rgb="FF000000"/>
      </left>
      <right style="thin">
        <color rgb="FF000000"/>
      </right>
      <top style="thin">
        <color rgb="FF000000"/>
      </top>
      <bottom/>
      <diagonal/>
    </border>
    <border>
      <left/>
      <right/>
      <top style="medium">
        <color rgb="FFBFBFBF"/>
      </top>
      <bottom style="medium">
        <color rgb="FFBFBFBF"/>
      </bottom>
      <diagonal/>
    </border>
    <border>
      <left style="medium">
        <color theme="6"/>
      </left>
      <right style="medium">
        <color theme="6"/>
      </right>
      <top style="medium">
        <color theme="6"/>
      </top>
      <bottom style="medium">
        <color theme="6"/>
      </bottom>
      <diagonal/>
    </border>
    <border>
      <left style="medium">
        <color theme="0" tint="-0.249977111117893"/>
      </left>
      <right style="medium">
        <color theme="0" tint="-0.249977111117893"/>
      </right>
      <top/>
      <bottom/>
      <diagonal/>
    </border>
  </borders>
  <cellStyleXfs count="22">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xf numFmtId="0" fontId="20" fillId="6" borderId="2">
      <alignment vertical="center"/>
      <protection locked="0"/>
    </xf>
    <xf numFmtId="165" fontId="1" fillId="0" borderId="0"/>
    <xf numFmtId="167" fontId="1" fillId="0" borderId="0"/>
    <xf numFmtId="43" fontId="1" fillId="0" borderId="0" applyFont="0" applyFill="0" applyBorder="0" applyAlignment="0" applyProtection="0"/>
    <xf numFmtId="0" fontId="10" fillId="11" borderId="10" applyNumberFormat="0">
      <alignment vertical="center" wrapText="1"/>
    </xf>
    <xf numFmtId="0" fontId="11" fillId="12" borderId="11" applyNumberFormat="0" applyAlignment="0"/>
    <xf numFmtId="43" fontId="1" fillId="0" borderId="0" applyFont="0" applyFill="0" applyBorder="0" applyAlignment="0" applyProtection="0"/>
    <xf numFmtId="0" fontId="20" fillId="18" borderId="2">
      <alignment vertical="center"/>
    </xf>
    <xf numFmtId="0" fontId="3" fillId="18" borderId="2">
      <alignment vertical="center"/>
    </xf>
    <xf numFmtId="0" fontId="20" fillId="3" borderId="2">
      <alignment vertical="center" wrapText="1"/>
      <protection locked="0"/>
    </xf>
    <xf numFmtId="0" fontId="18" fillId="5" borderId="2">
      <alignment vertical="center" wrapText="1"/>
      <protection locked="0"/>
    </xf>
    <xf numFmtId="43" fontId="3" fillId="0" borderId="0" applyFont="0" applyFill="0" applyBorder="0" applyAlignment="0" applyProtection="0"/>
    <xf numFmtId="43" fontId="1" fillId="0" borderId="0" applyFont="0" applyFill="0" applyBorder="0" applyAlignment="0" applyProtection="0"/>
    <xf numFmtId="0" fontId="54" fillId="0" borderId="0"/>
  </cellStyleXfs>
  <cellXfs count="300">
    <xf numFmtId="0" fontId="0" fillId="0" borderId="0" xfId="0"/>
    <xf numFmtId="0" fontId="4" fillId="2" borderId="0" xfId="0" applyFont="1" applyFill="1"/>
    <xf numFmtId="0" fontId="12" fillId="2" borderId="0" xfId="0" applyFont="1" applyFill="1"/>
    <xf numFmtId="0" fontId="13" fillId="2" borderId="0" xfId="0" applyFont="1" applyFill="1"/>
    <xf numFmtId="0" fontId="14" fillId="2" borderId="0" xfId="0" applyFont="1" applyFill="1" applyAlignment="1">
      <alignment horizontal="left" vertical="center"/>
    </xf>
    <xf numFmtId="0" fontId="14" fillId="2" borderId="0" xfId="0" applyFont="1" applyFill="1" applyAlignment="1">
      <alignment horizontal="center"/>
    </xf>
    <xf numFmtId="43" fontId="6" fillId="3" borderId="2" xfId="11" applyFont="1" applyFill="1" applyBorder="1" applyAlignment="1">
      <alignment vertical="center" wrapText="1"/>
    </xf>
    <xf numFmtId="0" fontId="3" fillId="6" borderId="2" xfId="4" quotePrefix="1" applyFill="1" applyBorder="1" applyAlignment="1">
      <alignment vertical="center" wrapText="1"/>
    </xf>
    <xf numFmtId="0" fontId="3" fillId="6" borderId="2" xfId="4" quotePrefix="1" applyFill="1" applyBorder="1" applyAlignment="1">
      <alignment vertical="center"/>
    </xf>
    <xf numFmtId="168" fontId="6" fillId="3" borderId="2" xfId="11" applyNumberFormat="1" applyFont="1" applyFill="1" applyBorder="1" applyAlignment="1">
      <alignment vertical="center" wrapText="1"/>
    </xf>
    <xf numFmtId="0" fontId="17" fillId="13" borderId="2" xfId="0" applyFont="1" applyFill="1" applyBorder="1" applyAlignment="1">
      <alignment horizontal="center" vertical="center" wrapText="1"/>
    </xf>
    <xf numFmtId="0" fontId="13" fillId="2" borderId="1" xfId="0" applyFont="1" applyFill="1" applyBorder="1"/>
    <xf numFmtId="0" fontId="18" fillId="6" borderId="2" xfId="0" applyFont="1" applyFill="1" applyBorder="1" applyAlignment="1">
      <alignment vertical="center" wrapText="1"/>
    </xf>
    <xf numFmtId="0" fontId="17" fillId="8" borderId="2" xfId="0" applyFont="1" applyFill="1" applyBorder="1" applyAlignment="1">
      <alignment horizontal="center" vertical="center" wrapText="1"/>
    </xf>
    <xf numFmtId="0" fontId="18" fillId="5" borderId="2" xfId="0" applyFont="1" applyFill="1" applyBorder="1" applyAlignment="1">
      <alignment vertical="center" wrapText="1"/>
    </xf>
    <xf numFmtId="0" fontId="18" fillId="9" borderId="2" xfId="0" applyFont="1" applyFill="1" applyBorder="1" applyAlignment="1">
      <alignment vertical="center" wrapText="1"/>
    </xf>
    <xf numFmtId="0" fontId="17" fillId="8" borderId="5" xfId="0" applyFont="1" applyFill="1" applyBorder="1" applyAlignment="1">
      <alignment horizontal="center" vertical="center" wrapText="1"/>
    </xf>
    <xf numFmtId="0" fontId="17" fillId="13" borderId="5" xfId="0" applyFont="1" applyFill="1" applyBorder="1" applyAlignment="1">
      <alignment horizontal="center" vertical="center" wrapText="1"/>
    </xf>
    <xf numFmtId="0" fontId="12" fillId="2" borderId="1" xfId="0" applyFont="1" applyFill="1" applyBorder="1" applyAlignment="1">
      <alignment horizontal="left" vertical="top"/>
    </xf>
    <xf numFmtId="0" fontId="22" fillId="7" borderId="1" xfId="0" applyFont="1" applyFill="1" applyBorder="1" applyAlignment="1" applyProtection="1">
      <alignment vertical="center"/>
      <protection locked="0"/>
    </xf>
    <xf numFmtId="0" fontId="20" fillId="7" borderId="0" xfId="0" applyFont="1" applyFill="1" applyAlignment="1" applyProtection="1">
      <alignment vertical="center"/>
      <protection locked="0"/>
    </xf>
    <xf numFmtId="0" fontId="17" fillId="8" borderId="2" xfId="0" applyFont="1" applyFill="1" applyBorder="1" applyAlignment="1">
      <alignment vertical="center" wrapText="1"/>
    </xf>
    <xf numFmtId="0" fontId="13" fillId="0" borderId="2" xfId="0" applyFont="1" applyBorder="1" applyAlignment="1">
      <alignment horizontal="center" vertical="center" wrapText="1"/>
    </xf>
    <xf numFmtId="0" fontId="13" fillId="0" borderId="2" xfId="0" applyFont="1" applyBorder="1" applyAlignment="1">
      <alignment vertical="center" wrapText="1"/>
    </xf>
    <xf numFmtId="0" fontId="17" fillId="8" borderId="12" xfId="0" applyFont="1" applyFill="1" applyBorder="1" applyAlignment="1">
      <alignment horizontal="center" vertical="center" wrapText="1"/>
    </xf>
    <xf numFmtId="0" fontId="17" fillId="8" borderId="13" xfId="0" applyFont="1" applyFill="1" applyBorder="1" applyAlignment="1">
      <alignment vertical="center" wrapText="1"/>
    </xf>
    <xf numFmtId="0" fontId="23" fillId="8" borderId="2" xfId="0" applyFont="1" applyFill="1" applyBorder="1" applyAlignment="1">
      <alignment horizontal="center" vertical="center" wrapText="1"/>
    </xf>
    <xf numFmtId="0" fontId="13" fillId="6" borderId="2" xfId="0" applyFont="1" applyFill="1" applyBorder="1" applyAlignment="1">
      <alignment horizontal="right" vertical="center" wrapText="1"/>
    </xf>
    <xf numFmtId="0" fontId="1" fillId="2" borderId="0" xfId="0" applyFont="1" applyFill="1"/>
    <xf numFmtId="0" fontId="0" fillId="2" borderId="0" xfId="0" applyFill="1"/>
    <xf numFmtId="0" fontId="3" fillId="2" borderId="2" xfId="0" applyFont="1" applyFill="1" applyBorder="1" applyAlignment="1">
      <alignment vertical="center" wrapText="1"/>
    </xf>
    <xf numFmtId="0" fontId="5" fillId="13" borderId="8" xfId="0" applyFont="1" applyFill="1" applyBorder="1" applyAlignment="1">
      <alignment vertical="center" wrapText="1"/>
    </xf>
    <xf numFmtId="0" fontId="3" fillId="6" borderId="2" xfId="4" quotePrefix="1" applyFill="1" applyBorder="1" applyAlignment="1">
      <alignment horizontal="left" vertical="top" wrapText="1"/>
    </xf>
    <xf numFmtId="0" fontId="26" fillId="7" borderId="1" xfId="0" applyFont="1" applyFill="1" applyBorder="1" applyAlignment="1" applyProtection="1">
      <alignment vertical="center"/>
      <protection locked="0"/>
    </xf>
    <xf numFmtId="0" fontId="26" fillId="7" borderId="0" xfId="0" applyFont="1" applyFill="1" applyAlignment="1" applyProtection="1">
      <alignment vertical="center"/>
      <protection locked="0"/>
    </xf>
    <xf numFmtId="0" fontId="5" fillId="8" borderId="5" xfId="0" applyFont="1" applyFill="1" applyBorder="1" applyAlignment="1">
      <alignment horizontal="center" vertical="center" wrapText="1"/>
    </xf>
    <xf numFmtId="0" fontId="4" fillId="2" borderId="0" xfId="0" applyFont="1" applyFill="1" applyAlignment="1">
      <alignment horizontal="center"/>
    </xf>
    <xf numFmtId="0" fontId="13" fillId="2" borderId="0" xfId="0" applyFont="1" applyFill="1" applyAlignment="1">
      <alignment horizontal="center" vertical="center"/>
    </xf>
    <xf numFmtId="0" fontId="12" fillId="2" borderId="1" xfId="3" applyFont="1" applyFill="1" applyBorder="1" applyAlignment="1" applyProtection="1">
      <alignment horizontal="left" vertical="center"/>
      <protection locked="0" hidden="1"/>
    </xf>
    <xf numFmtId="0" fontId="4" fillId="2" borderId="1" xfId="0" applyFont="1" applyFill="1" applyBorder="1" applyAlignment="1">
      <alignment horizontal="left" vertical="top"/>
    </xf>
    <xf numFmtId="0" fontId="5" fillId="8" borderId="2" xfId="0" applyFont="1" applyFill="1" applyBorder="1" applyAlignment="1">
      <alignment horizontal="center" vertical="center" wrapText="1"/>
    </xf>
    <xf numFmtId="0" fontId="4" fillId="0" borderId="2" xfId="0" applyFont="1" applyBorder="1" applyAlignment="1">
      <alignment vertical="center" wrapText="1"/>
    </xf>
    <xf numFmtId="0" fontId="3" fillId="0" borderId="2" xfId="0" applyFont="1" applyBorder="1" applyAlignment="1">
      <alignment vertical="center" wrapText="1"/>
    </xf>
    <xf numFmtId="0" fontId="4" fillId="0" borderId="2" xfId="0" applyFont="1" applyBorder="1" applyAlignment="1">
      <alignment vertical="center"/>
    </xf>
    <xf numFmtId="0" fontId="6" fillId="6" borderId="2" xfId="0" applyFont="1" applyFill="1" applyBorder="1" applyAlignment="1">
      <alignment horizontal="left" vertical="top" wrapText="1"/>
    </xf>
    <xf numFmtId="0" fontId="28" fillId="2" borderId="0" xfId="0" applyFont="1" applyFill="1"/>
    <xf numFmtId="0" fontId="29" fillId="2" borderId="1" xfId="3" applyFont="1" applyFill="1" applyBorder="1" applyAlignment="1" applyProtection="1">
      <alignment horizontal="left" vertical="center"/>
      <protection locked="0" hidden="1"/>
    </xf>
    <xf numFmtId="0" fontId="6" fillId="3" borderId="2" xfId="0" applyFont="1" applyFill="1" applyBorder="1" applyAlignment="1">
      <alignment vertical="center" wrapText="1"/>
    </xf>
    <xf numFmtId="0" fontId="33" fillId="7" borderId="0" xfId="0" applyFont="1" applyFill="1" applyAlignment="1" applyProtection="1">
      <alignment vertical="center"/>
      <protection locked="0"/>
    </xf>
    <xf numFmtId="0" fontId="13" fillId="2" borderId="1" xfId="0" applyFont="1" applyFill="1" applyBorder="1" applyAlignment="1">
      <alignment horizontal="left" vertical="center"/>
    </xf>
    <xf numFmtId="0" fontId="6" fillId="9" borderId="2" xfId="0" applyFont="1" applyFill="1" applyBorder="1" applyAlignment="1">
      <alignment vertical="center" wrapText="1"/>
    </xf>
    <xf numFmtId="0" fontId="21" fillId="9" borderId="2" xfId="0" applyFont="1" applyFill="1" applyBorder="1" applyAlignment="1">
      <alignment vertical="center" wrapText="1"/>
    </xf>
    <xf numFmtId="0" fontId="13" fillId="2" borderId="0" xfId="0" applyFont="1" applyFill="1" applyAlignment="1">
      <alignment horizontal="left" wrapText="1"/>
    </xf>
    <xf numFmtId="0" fontId="18" fillId="9" borderId="2" xfId="0" applyFont="1" applyFill="1" applyBorder="1" applyAlignment="1">
      <alignment horizontal="left" vertical="center" wrapText="1"/>
    </xf>
    <xf numFmtId="0" fontId="18" fillId="17" borderId="2" xfId="0" applyFont="1" applyFill="1" applyBorder="1" applyAlignment="1">
      <alignment vertical="center" wrapText="1"/>
    </xf>
    <xf numFmtId="0" fontId="4" fillId="2" borderId="0" xfId="0" applyFont="1" applyFill="1" applyAlignment="1">
      <alignment horizontal="center" vertical="top"/>
    </xf>
    <xf numFmtId="0" fontId="20" fillId="18" borderId="2" xfId="15">
      <alignment vertical="center"/>
    </xf>
    <xf numFmtId="0" fontId="4" fillId="0" borderId="28" xfId="0" applyFont="1" applyBorder="1" applyAlignment="1">
      <alignment vertical="center" wrapText="1"/>
    </xf>
    <xf numFmtId="0" fontId="6" fillId="2" borderId="28" xfId="0" applyFont="1" applyFill="1" applyBorder="1" applyAlignment="1">
      <alignment vertical="center" wrapText="1"/>
    </xf>
    <xf numFmtId="0" fontId="3" fillId="0" borderId="28" xfId="0" applyFont="1" applyBorder="1" applyAlignment="1">
      <alignment vertical="center" wrapText="1"/>
    </xf>
    <xf numFmtId="0" fontId="3" fillId="2" borderId="1" xfId="3" applyFill="1" applyBorder="1" applyAlignment="1" applyProtection="1">
      <alignment horizontal="left" vertical="center"/>
      <protection locked="0" hidden="1"/>
    </xf>
    <xf numFmtId="0" fontId="3" fillId="2" borderId="0" xfId="3" applyFill="1" applyAlignment="1" applyProtection="1">
      <alignment horizontal="left" vertical="center"/>
      <protection locked="0" hidden="1"/>
    </xf>
    <xf numFmtId="0" fontId="4" fillId="2" borderId="0" xfId="0" applyFont="1" applyFill="1" applyAlignment="1">
      <alignment horizontal="left" vertical="top"/>
    </xf>
    <xf numFmtId="0" fontId="6" fillId="9" borderId="2" xfId="0" applyFont="1" applyFill="1" applyBorder="1" applyAlignment="1">
      <alignment horizontal="center" vertical="center" wrapText="1"/>
    </xf>
    <xf numFmtId="0" fontId="34" fillId="9" borderId="2" xfId="0" applyFont="1" applyFill="1" applyBorder="1" applyAlignment="1">
      <alignment vertical="center" wrapText="1"/>
    </xf>
    <xf numFmtId="0" fontId="35" fillId="9" borderId="2" xfId="0" applyFont="1" applyFill="1" applyBorder="1" applyAlignment="1">
      <alignment vertical="center" wrapText="1"/>
    </xf>
    <xf numFmtId="0" fontId="6" fillId="6" borderId="5" xfId="0" applyFont="1" applyFill="1" applyBorder="1" applyAlignment="1">
      <alignment horizontal="left" vertical="top" wrapText="1"/>
    </xf>
    <xf numFmtId="0" fontId="6" fillId="9" borderId="5" xfId="0" applyFont="1" applyFill="1" applyBorder="1" applyAlignment="1">
      <alignment vertical="center" wrapText="1"/>
    </xf>
    <xf numFmtId="0" fontId="6" fillId="9" borderId="5" xfId="0" applyFont="1" applyFill="1" applyBorder="1" applyAlignment="1">
      <alignment horizontal="center" vertical="center" wrapText="1"/>
    </xf>
    <xf numFmtId="0" fontId="3" fillId="18" borderId="2" xfId="16">
      <alignment vertical="center"/>
    </xf>
    <xf numFmtId="0" fontId="5" fillId="0" borderId="0" xfId="0" applyFont="1" applyAlignment="1">
      <alignment horizontal="left" vertical="top" wrapText="1"/>
    </xf>
    <xf numFmtId="0" fontId="4" fillId="2" borderId="0" xfId="0" pivotButton="1" applyFont="1" applyFill="1" applyAlignment="1">
      <alignment horizontal="left" vertical="top"/>
    </xf>
    <xf numFmtId="0" fontId="37" fillId="2" borderId="0" xfId="0" applyFont="1" applyFill="1"/>
    <xf numFmtId="0" fontId="4" fillId="13" borderId="2" xfId="0" applyFont="1" applyFill="1" applyBorder="1" applyAlignment="1">
      <alignment vertical="center" wrapText="1"/>
    </xf>
    <xf numFmtId="0" fontId="6" fillId="13" borderId="2" xfId="0" applyFont="1" applyFill="1" applyBorder="1" applyAlignment="1">
      <alignment vertical="center" wrapText="1"/>
    </xf>
    <xf numFmtId="0" fontId="9" fillId="13" borderId="2" xfId="2" applyFont="1" applyFill="1" applyBorder="1" applyAlignment="1">
      <alignment vertical="center" wrapText="1"/>
    </xf>
    <xf numFmtId="0" fontId="3" fillId="6" borderId="2" xfId="4" applyFill="1" applyBorder="1" applyAlignment="1">
      <alignment vertical="center" wrapText="1"/>
    </xf>
    <xf numFmtId="0" fontId="9" fillId="0" borderId="2" xfId="2" applyFont="1" applyBorder="1" applyAlignment="1">
      <alignment vertical="center" wrapText="1"/>
    </xf>
    <xf numFmtId="0" fontId="17" fillId="13" borderId="2" xfId="0" applyFont="1" applyFill="1" applyBorder="1" applyAlignment="1">
      <alignment horizontal="right" vertical="center" wrapText="1"/>
    </xf>
    <xf numFmtId="0" fontId="17" fillId="13" borderId="5" xfId="0" applyFont="1" applyFill="1" applyBorder="1" applyAlignment="1">
      <alignment horizontal="right" vertical="center" wrapText="1"/>
    </xf>
    <xf numFmtId="0" fontId="20" fillId="18" borderId="2" xfId="15" applyAlignment="1">
      <alignment horizontal="right" vertical="center"/>
    </xf>
    <xf numFmtId="0" fontId="18" fillId="3" borderId="2" xfId="0" applyFont="1" applyFill="1" applyBorder="1" applyAlignment="1">
      <alignment horizontal="right" vertical="center" wrapText="1"/>
    </xf>
    <xf numFmtId="0" fontId="20" fillId="18" borderId="2" xfId="15" applyAlignment="1">
      <alignment horizontal="left" vertical="center"/>
    </xf>
    <xf numFmtId="0" fontId="18" fillId="3" borderId="2" xfId="0" applyFont="1" applyFill="1" applyBorder="1" applyAlignment="1">
      <alignment horizontal="left" vertical="center" wrapText="1"/>
    </xf>
    <xf numFmtId="0" fontId="17" fillId="13" borderId="5"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2" xfId="0" applyFont="1" applyFill="1" applyBorder="1" applyAlignment="1">
      <alignment horizontal="left" vertical="center"/>
    </xf>
    <xf numFmtId="0" fontId="13" fillId="2" borderId="0" xfId="0" applyFont="1" applyFill="1" applyAlignment="1">
      <alignment horizontal="left" vertical="center"/>
    </xf>
    <xf numFmtId="0" fontId="18" fillId="9" borderId="5" xfId="0" applyFont="1" applyFill="1" applyBorder="1" applyAlignment="1">
      <alignment horizontal="left" vertical="center" wrapText="1"/>
    </xf>
    <xf numFmtId="0" fontId="25" fillId="2" borderId="0" xfId="0" applyFont="1" applyFill="1" applyAlignment="1">
      <alignment vertical="center"/>
    </xf>
    <xf numFmtId="0" fontId="40" fillId="14" borderId="16" xfId="0" applyFont="1" applyFill="1" applyBorder="1"/>
    <xf numFmtId="0" fontId="0" fillId="15" borderId="17" xfId="0" applyFill="1" applyBorder="1" applyAlignment="1">
      <alignment horizontal="left"/>
    </xf>
    <xf numFmtId="0" fontId="40" fillId="14" borderId="30" xfId="0" applyFont="1" applyFill="1" applyBorder="1" applyAlignment="1">
      <alignment horizontal="left"/>
    </xf>
    <xf numFmtId="0" fontId="4" fillId="0" borderId="8" xfId="0" applyFont="1" applyBorder="1" applyAlignment="1">
      <alignment vertical="center" wrapText="1"/>
    </xf>
    <xf numFmtId="0" fontId="6" fillId="4" borderId="2" xfId="0" applyFont="1" applyFill="1" applyBorder="1" applyAlignment="1">
      <alignment horizontal="right" vertical="center" wrapText="1"/>
    </xf>
    <xf numFmtId="169" fontId="18" fillId="3" borderId="2" xfId="0" applyNumberFormat="1" applyFont="1" applyFill="1" applyBorder="1" applyAlignment="1">
      <alignment horizontal="right" vertical="center" wrapText="1"/>
    </xf>
    <xf numFmtId="169" fontId="18" fillId="3" borderId="5" xfId="0" applyNumberFormat="1" applyFont="1" applyFill="1" applyBorder="1" applyAlignment="1">
      <alignment horizontal="right" vertical="center" wrapText="1"/>
    </xf>
    <xf numFmtId="169" fontId="18" fillId="4" borderId="2" xfId="0" applyNumberFormat="1" applyFont="1" applyFill="1" applyBorder="1" applyAlignment="1">
      <alignment horizontal="right" vertical="center" wrapText="1"/>
    </xf>
    <xf numFmtId="169" fontId="17" fillId="13" borderId="2" xfId="0" applyNumberFormat="1" applyFont="1" applyFill="1" applyBorder="1" applyAlignment="1">
      <alignment horizontal="right" vertical="center" wrapText="1"/>
    </xf>
    <xf numFmtId="169" fontId="17" fillId="13" borderId="5" xfId="0" applyNumberFormat="1" applyFont="1" applyFill="1" applyBorder="1" applyAlignment="1">
      <alignment horizontal="right" vertical="center" wrapText="1"/>
    </xf>
    <xf numFmtId="169" fontId="0" fillId="15" borderId="17" xfId="0" applyNumberFormat="1" applyFill="1" applyBorder="1"/>
    <xf numFmtId="169" fontId="40" fillId="14" borderId="30" xfId="0" applyNumberFormat="1" applyFont="1" applyFill="1" applyBorder="1"/>
    <xf numFmtId="0" fontId="3" fillId="18" borderId="2" xfId="16" applyAlignment="1">
      <alignment horizontal="right" vertical="center"/>
    </xf>
    <xf numFmtId="169" fontId="18" fillId="4" borderId="2" xfId="0" applyNumberFormat="1" applyFont="1" applyFill="1" applyBorder="1" applyAlignment="1">
      <alignment horizontal="center" vertical="center" wrapText="1"/>
    </xf>
    <xf numFmtId="0" fontId="0" fillId="20" borderId="17" xfId="0" applyFill="1" applyBorder="1" applyAlignment="1">
      <alignment horizontal="left"/>
    </xf>
    <xf numFmtId="169" fontId="0" fillId="20" borderId="17" xfId="0" applyNumberFormat="1" applyFill="1" applyBorder="1"/>
    <xf numFmtId="166" fontId="6" fillId="3" borderId="2" xfId="11" applyNumberFormat="1" applyFont="1" applyFill="1" applyBorder="1" applyAlignment="1">
      <alignment vertical="center" wrapText="1"/>
    </xf>
    <xf numFmtId="0" fontId="6" fillId="6" borderId="2" xfId="4" quotePrefix="1" applyFont="1" applyFill="1" applyBorder="1" applyAlignment="1">
      <alignment horizontal="left" vertical="top" wrapText="1"/>
    </xf>
    <xf numFmtId="0" fontId="17" fillId="8" borderId="2" xfId="0" applyFont="1" applyFill="1" applyBorder="1" applyAlignment="1">
      <alignment horizontal="left" vertical="center" wrapText="1"/>
    </xf>
    <xf numFmtId="0" fontId="17" fillId="2" borderId="0" xfId="0" applyFont="1" applyFill="1" applyAlignment="1">
      <alignment vertical="center" wrapText="1"/>
    </xf>
    <xf numFmtId="0" fontId="0" fillId="2" borderId="0" xfId="0" applyFill="1" applyAlignment="1">
      <alignment vertical="center"/>
    </xf>
    <xf numFmtId="169" fontId="18" fillId="2" borderId="0" xfId="0" applyNumberFormat="1" applyFont="1" applyFill="1" applyAlignment="1">
      <alignment horizontal="center" vertical="center" wrapText="1"/>
    </xf>
    <xf numFmtId="0" fontId="13" fillId="9" borderId="2" xfId="0" applyFont="1" applyFill="1" applyBorder="1" applyAlignment="1">
      <alignment vertical="center" wrapText="1"/>
    </xf>
    <xf numFmtId="0" fontId="13" fillId="0" borderId="0" xfId="0" applyFont="1" applyAlignment="1">
      <alignment horizontal="center" vertical="center"/>
    </xf>
    <xf numFmtId="0" fontId="13" fillId="0" borderId="15" xfId="0" applyFont="1" applyBorder="1" applyAlignment="1">
      <alignment horizontal="center" vertical="center"/>
    </xf>
    <xf numFmtId="10" fontId="18" fillId="4" borderId="2" xfId="1" applyNumberFormat="1" applyFont="1" applyFill="1" applyBorder="1" applyAlignment="1">
      <alignment horizontal="right" vertical="center" wrapText="1"/>
    </xf>
    <xf numFmtId="0" fontId="3" fillId="6" borderId="8" xfId="4" quotePrefix="1" applyFill="1" applyBorder="1" applyAlignment="1">
      <alignment vertical="center" wrapText="1"/>
    </xf>
    <xf numFmtId="170" fontId="6" fillId="3" borderId="8" xfId="11" applyNumberFormat="1" applyFont="1" applyFill="1" applyBorder="1" applyAlignment="1">
      <alignment vertical="center" wrapText="1"/>
    </xf>
    <xf numFmtId="170" fontId="6" fillId="3" borderId="2" xfId="11" applyNumberFormat="1" applyFont="1" applyFill="1" applyBorder="1" applyAlignment="1">
      <alignment vertical="center" wrapText="1"/>
    </xf>
    <xf numFmtId="0" fontId="4" fillId="2" borderId="2" xfId="0" applyFont="1" applyFill="1" applyBorder="1" applyAlignment="1">
      <alignment vertical="center" wrapText="1"/>
    </xf>
    <xf numFmtId="0" fontId="0" fillId="2" borderId="0" xfId="0" applyFill="1" applyAlignment="1">
      <alignment wrapText="1"/>
    </xf>
    <xf numFmtId="0" fontId="4" fillId="0" borderId="2" xfId="0" applyFont="1" applyBorder="1" applyAlignment="1">
      <alignment vertical="top" wrapText="1"/>
    </xf>
    <xf numFmtId="0" fontId="13" fillId="2" borderId="0" xfId="0" applyFont="1" applyFill="1" applyAlignment="1">
      <alignment vertical="center"/>
    </xf>
    <xf numFmtId="0" fontId="20" fillId="2" borderId="0" xfId="0" applyFont="1" applyFill="1" applyAlignment="1">
      <alignment vertical="center" wrapText="1"/>
    </xf>
    <xf numFmtId="0" fontId="12" fillId="2" borderId="0" xfId="0" applyFont="1" applyFill="1" applyAlignment="1">
      <alignment vertical="center"/>
    </xf>
    <xf numFmtId="0" fontId="22" fillId="2" borderId="0" xfId="0" applyFont="1" applyFill="1" applyAlignment="1">
      <alignment vertical="center"/>
    </xf>
    <xf numFmtId="0" fontId="13" fillId="2" borderId="0" xfId="0" applyFont="1" applyFill="1" applyAlignment="1">
      <alignment vertical="center" wrapText="1"/>
    </xf>
    <xf numFmtId="0" fontId="20" fillId="2" borderId="0" xfId="0" applyFont="1" applyFill="1" applyAlignment="1">
      <alignment vertical="center"/>
    </xf>
    <xf numFmtId="0" fontId="20" fillId="3" borderId="2" xfId="17">
      <alignment vertical="center" wrapText="1"/>
      <protection locked="0"/>
    </xf>
    <xf numFmtId="0" fontId="18" fillId="5" borderId="2" xfId="18">
      <alignment vertical="center" wrapText="1"/>
      <protection locked="0"/>
    </xf>
    <xf numFmtId="0" fontId="3" fillId="0" borderId="20" xfId="0" applyFont="1" applyBorder="1" applyAlignment="1">
      <alignment vertical="center" wrapText="1"/>
    </xf>
    <xf numFmtId="0" fontId="3" fillId="0" borderId="22" xfId="0" applyFont="1" applyBorder="1" applyAlignment="1">
      <alignment vertical="center" wrapText="1"/>
    </xf>
    <xf numFmtId="0" fontId="5" fillId="2" borderId="0" xfId="0" applyFont="1" applyFill="1" applyAlignment="1">
      <alignment vertical="center" wrapText="1"/>
    </xf>
    <xf numFmtId="0" fontId="3" fillId="2" borderId="0" xfId="0" applyFont="1" applyFill="1" applyAlignment="1">
      <alignment vertical="center" wrapText="1"/>
    </xf>
    <xf numFmtId="0" fontId="20" fillId="7" borderId="1" xfId="0" applyFont="1" applyFill="1" applyBorder="1" applyAlignment="1" applyProtection="1">
      <alignment vertical="center"/>
      <protection locked="0"/>
    </xf>
    <xf numFmtId="0" fontId="12" fillId="10" borderId="2" xfId="0" applyFont="1" applyFill="1" applyBorder="1" applyAlignment="1">
      <alignment horizontal="right" vertical="center" wrapText="1"/>
    </xf>
    <xf numFmtId="0" fontId="44" fillId="9" borderId="0" xfId="0" applyFont="1" applyFill="1" applyAlignment="1">
      <alignment horizontal="left" vertical="center"/>
    </xf>
    <xf numFmtId="2" fontId="13" fillId="2" borderId="0" xfId="0" applyNumberFormat="1" applyFont="1" applyFill="1"/>
    <xf numFmtId="0" fontId="33" fillId="21" borderId="2" xfId="8" applyFont="1" applyFill="1" applyAlignment="1">
      <alignment vertical="center" wrapText="1"/>
      <protection locked="0"/>
    </xf>
    <xf numFmtId="0" fontId="33" fillId="21" borderId="2" xfId="8" quotePrefix="1" applyFont="1" applyFill="1" applyAlignment="1">
      <alignment vertical="center" wrapText="1"/>
      <protection locked="0"/>
    </xf>
    <xf numFmtId="0" fontId="13" fillId="2" borderId="1" xfId="0" applyFont="1" applyFill="1" applyBorder="1" applyAlignment="1">
      <alignment horizontal="center" vertical="center"/>
    </xf>
    <xf numFmtId="0" fontId="43" fillId="2" borderId="2" xfId="8" applyFont="1" applyFill="1" applyAlignment="1">
      <alignment vertical="center" wrapText="1"/>
      <protection locked="0"/>
    </xf>
    <xf numFmtId="0" fontId="43" fillId="21" borderId="2" xfId="8" applyFont="1" applyFill="1" applyAlignment="1">
      <alignment vertical="center" wrapText="1"/>
      <protection locked="0"/>
    </xf>
    <xf numFmtId="0" fontId="12" fillId="2" borderId="1" xfId="0" applyFont="1" applyFill="1" applyBorder="1" applyAlignment="1">
      <alignment horizontal="left" vertical="center"/>
    </xf>
    <xf numFmtId="0" fontId="37" fillId="2" borderId="0" xfId="0" applyFont="1" applyFill="1" applyAlignment="1">
      <alignment vertical="center"/>
    </xf>
    <xf numFmtId="0" fontId="39" fillId="14" borderId="16" xfId="0" applyFont="1" applyFill="1" applyBorder="1" applyAlignment="1">
      <alignment vertical="center"/>
    </xf>
    <xf numFmtId="0" fontId="39" fillId="14" borderId="16" xfId="0" applyFont="1" applyFill="1" applyBorder="1" applyAlignment="1">
      <alignment horizontal="center" vertical="center"/>
    </xf>
    <xf numFmtId="0" fontId="13" fillId="2" borderId="0" xfId="0" pivotButton="1" applyFont="1" applyFill="1" applyAlignment="1">
      <alignment horizontal="left" vertical="center"/>
    </xf>
    <xf numFmtId="0" fontId="13" fillId="15" borderId="17" xfId="0" applyFont="1" applyFill="1" applyBorder="1" applyAlignment="1">
      <alignment horizontal="left" vertical="center"/>
    </xf>
    <xf numFmtId="166" fontId="13" fillId="15" borderId="17" xfId="0" applyNumberFormat="1" applyFont="1" applyFill="1" applyBorder="1" applyAlignment="1">
      <alignment vertical="center"/>
    </xf>
    <xf numFmtId="0" fontId="17" fillId="0" borderId="0" xfId="0" applyFont="1" applyAlignment="1">
      <alignment horizontal="left" vertical="center" wrapText="1"/>
    </xf>
    <xf numFmtId="0" fontId="39" fillId="14" borderId="30" xfId="0" applyFont="1" applyFill="1" applyBorder="1" applyAlignment="1">
      <alignment horizontal="left" vertical="center"/>
    </xf>
    <xf numFmtId="166" fontId="39" fillId="14" borderId="30" xfId="0" applyNumberFormat="1" applyFont="1" applyFill="1" applyBorder="1" applyAlignment="1">
      <alignment vertical="center"/>
    </xf>
    <xf numFmtId="0" fontId="4" fillId="2" borderId="0" xfId="0" applyFont="1" applyFill="1" applyAlignment="1">
      <alignment horizontal="center" vertical="center"/>
    </xf>
    <xf numFmtId="169" fontId="20" fillId="4" borderId="2" xfId="0" applyNumberFormat="1" applyFont="1" applyFill="1" applyBorder="1" applyAlignment="1">
      <alignment horizontal="center" vertical="center" wrapText="1"/>
    </xf>
    <xf numFmtId="169" fontId="17" fillId="13" borderId="5" xfId="0" applyNumberFormat="1" applyFont="1" applyFill="1" applyBorder="1" applyAlignment="1">
      <alignment horizontal="center" vertical="center" wrapText="1"/>
    </xf>
    <xf numFmtId="169" fontId="6" fillId="4" borderId="5" xfId="0" applyNumberFormat="1" applyFont="1" applyFill="1" applyBorder="1" applyAlignment="1">
      <alignment horizontal="center" vertical="center" wrapText="1"/>
    </xf>
    <xf numFmtId="169" fontId="6" fillId="4" borderId="2" xfId="0" applyNumberFormat="1" applyFont="1" applyFill="1" applyBorder="1" applyAlignment="1">
      <alignment horizontal="center" vertical="center" wrapText="1"/>
    </xf>
    <xf numFmtId="169" fontId="6" fillId="3" borderId="5" xfId="0" applyNumberFormat="1" applyFont="1" applyFill="1" applyBorder="1" applyAlignment="1">
      <alignment horizontal="center" vertical="center" wrapText="1"/>
    </xf>
    <xf numFmtId="169" fontId="6" fillId="3" borderId="2" xfId="0" applyNumberFormat="1" applyFont="1" applyFill="1" applyBorder="1" applyAlignment="1">
      <alignment horizontal="center" vertical="center" wrapText="1"/>
    </xf>
    <xf numFmtId="0" fontId="39" fillId="19" borderId="0" xfId="0" applyFont="1" applyFill="1" applyAlignment="1">
      <alignment horizontal="left" vertical="center"/>
    </xf>
    <xf numFmtId="166" fontId="39" fillId="19" borderId="0" xfId="0" applyNumberFormat="1" applyFont="1" applyFill="1" applyAlignment="1">
      <alignment vertical="center"/>
    </xf>
    <xf numFmtId="0" fontId="13" fillId="2" borderId="25" xfId="0" applyFont="1" applyFill="1" applyBorder="1" applyAlignment="1">
      <alignment horizontal="center" vertical="center"/>
    </xf>
    <xf numFmtId="0" fontId="0" fillId="2" borderId="0" xfId="0" applyFill="1" applyAlignment="1">
      <alignment vertical="center" wrapText="1"/>
    </xf>
    <xf numFmtId="0" fontId="3" fillId="13" borderId="2" xfId="4" applyFill="1" applyBorder="1" applyAlignment="1">
      <alignment vertical="center" wrapText="1"/>
    </xf>
    <xf numFmtId="0" fontId="43" fillId="2" borderId="2" xfId="8" applyFont="1" applyFill="1" applyAlignment="1" applyProtection="1">
      <alignment vertical="center" wrapText="1"/>
    </xf>
    <xf numFmtId="0" fontId="22" fillId="2" borderId="1" xfId="0" applyFont="1" applyFill="1" applyBorder="1" applyAlignment="1">
      <alignment vertical="center"/>
    </xf>
    <xf numFmtId="0" fontId="44" fillId="2" borderId="0" xfId="0" applyFont="1" applyFill="1"/>
    <xf numFmtId="0" fontId="22" fillId="2" borderId="1" xfId="3" applyFont="1" applyFill="1" applyBorder="1" applyAlignment="1">
      <alignment horizontal="left" vertical="center"/>
    </xf>
    <xf numFmtId="0" fontId="20" fillId="2" borderId="0" xfId="0" applyFont="1" applyFill="1"/>
    <xf numFmtId="0" fontId="12" fillId="2" borderId="1" xfId="3" applyFont="1" applyFill="1" applyBorder="1" applyAlignment="1">
      <alignment horizontal="left" vertical="center"/>
    </xf>
    <xf numFmtId="0" fontId="24" fillId="2" borderId="0" xfId="3" applyFont="1" applyFill="1" applyAlignment="1">
      <alignment horizontal="justify" vertical="center" wrapText="1"/>
    </xf>
    <xf numFmtId="0" fontId="20" fillId="2" borderId="1" xfId="3" applyFont="1" applyFill="1" applyBorder="1" applyAlignment="1">
      <alignment horizontal="left" vertical="center"/>
    </xf>
    <xf numFmtId="0" fontId="12" fillId="2" borderId="0" xfId="3" applyFont="1" applyFill="1" applyAlignment="1">
      <alignment horizontal="left" vertical="center"/>
    </xf>
    <xf numFmtId="0" fontId="20" fillId="2" borderId="0" xfId="3" applyFont="1" applyFill="1" applyAlignment="1">
      <alignment horizontal="left" vertical="center"/>
    </xf>
    <xf numFmtId="0" fontId="18" fillId="3" borderId="2" xfId="0" applyFont="1" applyFill="1" applyBorder="1" applyAlignment="1">
      <alignment vertical="center" wrapText="1"/>
    </xf>
    <xf numFmtId="0" fontId="18" fillId="4" borderId="2" xfId="0" applyFont="1" applyFill="1" applyBorder="1" applyAlignment="1">
      <alignment vertical="center" wrapText="1"/>
    </xf>
    <xf numFmtId="0" fontId="20" fillId="21" borderId="2" xfId="4" applyFont="1" applyFill="1" applyBorder="1" applyAlignment="1">
      <alignment vertical="center"/>
    </xf>
    <xf numFmtId="0" fontId="20" fillId="18" borderId="2" xfId="4" applyFont="1" applyFill="1" applyBorder="1" applyAlignment="1">
      <alignment vertical="center"/>
    </xf>
    <xf numFmtId="0" fontId="4" fillId="2" borderId="2" xfId="0" applyFont="1" applyFill="1" applyBorder="1" applyAlignment="1">
      <alignment vertical="center"/>
    </xf>
    <xf numFmtId="0" fontId="3" fillId="2" borderId="2" xfId="3" applyFill="1" applyBorder="1" applyAlignment="1">
      <alignment horizontal="left" vertical="center" wrapText="1"/>
    </xf>
    <xf numFmtId="0" fontId="3" fillId="2" borderId="2" xfId="6" applyFill="1" applyBorder="1" applyAlignment="1">
      <alignment horizontal="left" vertical="center" wrapText="1"/>
    </xf>
    <xf numFmtId="0" fontId="13" fillId="2" borderId="0" xfId="0" quotePrefix="1" applyFont="1" applyFill="1"/>
    <xf numFmtId="0" fontId="6" fillId="16" borderId="19" xfId="0" applyFont="1" applyFill="1" applyBorder="1" applyAlignment="1">
      <alignment vertical="center" wrapText="1"/>
    </xf>
    <xf numFmtId="0" fontId="3" fillId="16" borderId="20" xfId="0" applyFont="1" applyFill="1" applyBorder="1" applyAlignment="1">
      <alignment vertical="center" wrapText="1"/>
    </xf>
    <xf numFmtId="0" fontId="3" fillId="2" borderId="22" xfId="0" applyFont="1" applyFill="1" applyBorder="1" applyAlignment="1">
      <alignment vertical="center" wrapText="1"/>
    </xf>
    <xf numFmtId="0" fontId="4" fillId="2" borderId="0" xfId="0" applyFont="1" applyFill="1" applyAlignment="1">
      <alignment vertical="center"/>
    </xf>
    <xf numFmtId="0" fontId="6" fillId="16" borderId="0" xfId="0" applyFont="1" applyFill="1" applyAlignment="1">
      <alignment vertical="center" wrapText="1"/>
    </xf>
    <xf numFmtId="0" fontId="3" fillId="16" borderId="0" xfId="0" applyFont="1" applyFill="1" applyAlignment="1">
      <alignment vertical="center" wrapText="1"/>
    </xf>
    <xf numFmtId="0" fontId="18" fillId="9" borderId="2" xfId="0" applyFont="1" applyFill="1" applyBorder="1" applyAlignment="1">
      <alignment vertical="center"/>
    </xf>
    <xf numFmtId="0" fontId="3" fillId="0" borderId="32" xfId="0" applyFont="1" applyBorder="1" applyAlignment="1" applyProtection="1">
      <alignment vertical="center" wrapText="1"/>
      <protection locked="0"/>
    </xf>
    <xf numFmtId="0" fontId="31" fillId="6" borderId="2" xfId="8" applyFont="1" applyAlignment="1">
      <alignment vertical="center" wrapText="1"/>
      <protection locked="0"/>
    </xf>
    <xf numFmtId="0" fontId="3" fillId="0" borderId="26" xfId="0" applyFont="1" applyBorder="1" applyAlignment="1" applyProtection="1">
      <alignment vertical="center" wrapText="1"/>
      <protection locked="0"/>
    </xf>
    <xf numFmtId="0" fontId="22" fillId="7" borderId="1" xfId="0" applyFont="1" applyFill="1" applyBorder="1" applyAlignment="1">
      <alignment vertical="center"/>
    </xf>
    <xf numFmtId="0" fontId="20" fillId="7" borderId="0" xfId="0" applyFont="1" applyFill="1" applyAlignment="1">
      <alignment vertical="center"/>
    </xf>
    <xf numFmtId="0" fontId="20" fillId="0" borderId="2" xfId="0" applyFont="1" applyBorder="1" applyAlignment="1">
      <alignment vertical="center" wrapText="1"/>
    </xf>
    <xf numFmtId="0" fontId="19" fillId="0" borderId="0" xfId="0" applyFont="1" applyAlignment="1">
      <alignment horizontal="justify" vertical="center"/>
    </xf>
    <xf numFmtId="170" fontId="18" fillId="4" borderId="2" xfId="0" applyNumberFormat="1" applyFont="1" applyFill="1" applyBorder="1" applyAlignment="1">
      <alignment horizontal="right" vertical="center" wrapText="1"/>
    </xf>
    <xf numFmtId="170" fontId="13" fillId="4" borderId="2" xfId="0" applyNumberFormat="1" applyFont="1" applyFill="1" applyBorder="1" applyAlignment="1">
      <alignment vertical="center" wrapText="1"/>
    </xf>
    <xf numFmtId="170" fontId="18" fillId="4" borderId="2" xfId="0" applyNumberFormat="1" applyFont="1" applyFill="1" applyBorder="1" applyAlignment="1">
      <alignment vertical="center" wrapText="1"/>
    </xf>
    <xf numFmtId="1" fontId="13" fillId="2" borderId="0" xfId="0" applyNumberFormat="1" applyFont="1" applyFill="1"/>
    <xf numFmtId="1" fontId="17" fillId="8" borderId="2" xfId="0" applyNumberFormat="1" applyFont="1" applyFill="1" applyBorder="1" applyAlignment="1">
      <alignment horizontal="center" vertical="center" wrapText="1"/>
    </xf>
    <xf numFmtId="4" fontId="18" fillId="4" borderId="2" xfId="0" applyNumberFormat="1" applyFont="1" applyFill="1" applyBorder="1" applyAlignment="1">
      <alignment horizontal="right" vertical="center" wrapText="1"/>
    </xf>
    <xf numFmtId="4" fontId="20" fillId="3" borderId="2" xfId="17" applyNumberFormat="1" applyAlignment="1">
      <alignment horizontal="right" vertical="center" wrapText="1"/>
      <protection locked="0"/>
    </xf>
    <xf numFmtId="0" fontId="48" fillId="0" borderId="15" xfId="3" applyFont="1" applyBorder="1" applyAlignment="1">
      <alignment horizontal="center" vertical="center" wrapText="1"/>
    </xf>
    <xf numFmtId="0" fontId="43" fillId="0" borderId="15" xfId="3" applyFont="1" applyBorder="1" applyAlignment="1">
      <alignment horizontal="center" vertical="center" wrapText="1"/>
    </xf>
    <xf numFmtId="0" fontId="43" fillId="0" borderId="27" xfId="3" applyFont="1" applyBorder="1" applyAlignment="1">
      <alignment horizontal="center" vertical="center" wrapText="1"/>
    </xf>
    <xf numFmtId="0" fontId="43" fillId="0" borderId="27" xfId="3" applyFont="1" applyBorder="1" applyAlignment="1">
      <alignment horizontal="left" vertical="center" wrapText="1"/>
    </xf>
    <xf numFmtId="0" fontId="43" fillId="0" borderId="18" xfId="3" applyFont="1" applyBorder="1" applyAlignment="1">
      <alignment horizontal="center" vertical="center" wrapText="1"/>
    </xf>
    <xf numFmtId="0" fontId="43" fillId="0" borderId="31" xfId="3" applyFont="1" applyBorder="1" applyAlignment="1">
      <alignment horizontal="center" vertical="center" wrapText="1"/>
    </xf>
    <xf numFmtId="0" fontId="43" fillId="0" borderId="31" xfId="3" applyFont="1" applyBorder="1" applyAlignment="1">
      <alignment horizontal="left" vertical="center" wrapText="1"/>
    </xf>
    <xf numFmtId="0" fontId="43" fillId="0" borderId="15" xfId="3" quotePrefix="1" applyFont="1" applyBorder="1" applyAlignment="1">
      <alignment horizontal="left" vertical="center" wrapText="1"/>
    </xf>
    <xf numFmtId="0" fontId="43" fillId="0" borderId="15" xfId="3" applyFont="1" applyBorder="1" applyAlignment="1">
      <alignment horizontal="left" vertical="center" wrapText="1"/>
    </xf>
    <xf numFmtId="14" fontId="43" fillId="0" borderId="15" xfId="3" applyNumberFormat="1" applyFont="1" applyBorder="1" applyAlignment="1">
      <alignment horizontal="center" vertical="center" wrapText="1"/>
    </xf>
    <xf numFmtId="0" fontId="46" fillId="0" borderId="15" xfId="0" applyFont="1" applyBorder="1" applyAlignment="1">
      <alignment horizontal="left"/>
    </xf>
    <xf numFmtId="0" fontId="5" fillId="8" borderId="29" xfId="0" applyFont="1" applyFill="1" applyBorder="1" applyAlignment="1">
      <alignment horizontal="center" vertical="center" wrapText="1"/>
    </xf>
    <xf numFmtId="4" fontId="18" fillId="4" borderId="2" xfId="11" applyNumberFormat="1" applyFont="1" applyFill="1" applyBorder="1" applyAlignment="1">
      <alignment horizontal="right" vertical="center" wrapText="1"/>
    </xf>
    <xf numFmtId="4" fontId="20" fillId="18" borderId="2" xfId="15" applyNumberFormat="1" applyAlignment="1">
      <alignment horizontal="right" vertical="center"/>
    </xf>
    <xf numFmtId="170" fontId="12" fillId="10" borderId="2" xfId="11" applyNumberFormat="1" applyFont="1" applyFill="1" applyBorder="1" applyAlignment="1">
      <alignment horizontal="right" vertical="center" wrapText="1"/>
    </xf>
    <xf numFmtId="0" fontId="5" fillId="8" borderId="12" xfId="0" applyFont="1" applyFill="1" applyBorder="1" applyAlignment="1">
      <alignment horizontal="center" vertical="center" wrapText="1"/>
    </xf>
    <xf numFmtId="4" fontId="20" fillId="4" borderId="2" xfId="17" applyNumberFormat="1" applyFill="1" applyAlignment="1" applyProtection="1">
      <alignment horizontal="right" vertical="center" wrapText="1"/>
    </xf>
    <xf numFmtId="0" fontId="47" fillId="6" borderId="2" xfId="0" applyFont="1" applyFill="1" applyBorder="1" applyAlignment="1">
      <alignment vertical="center" wrapText="1"/>
    </xf>
    <xf numFmtId="0" fontId="43" fillId="2" borderId="12" xfId="8" applyFont="1" applyFill="1" applyBorder="1" applyAlignment="1">
      <alignment vertical="center" wrapText="1"/>
      <protection locked="0"/>
    </xf>
    <xf numFmtId="0" fontId="13" fillId="0" borderId="33" xfId="0" applyFont="1" applyBorder="1" applyAlignment="1">
      <alignment horizontal="center" vertical="center"/>
    </xf>
    <xf numFmtId="4" fontId="18" fillId="22" borderId="2" xfId="11" applyNumberFormat="1" applyFont="1" applyFill="1" applyBorder="1" applyAlignment="1">
      <alignment horizontal="right" vertical="center" wrapText="1"/>
    </xf>
    <xf numFmtId="0" fontId="6" fillId="2" borderId="2" xfId="0" applyFont="1" applyFill="1" applyBorder="1" applyAlignment="1">
      <alignment vertical="center" wrapText="1"/>
    </xf>
    <xf numFmtId="0" fontId="26" fillId="13" borderId="5" xfId="0" applyFont="1" applyFill="1" applyBorder="1" applyAlignment="1">
      <alignment horizontal="center" vertical="center" wrapText="1"/>
    </xf>
    <xf numFmtId="43" fontId="26" fillId="13" borderId="5" xfId="11" applyFont="1" applyFill="1" applyBorder="1" applyAlignment="1">
      <alignment horizontal="center" vertical="center" wrapText="1"/>
    </xf>
    <xf numFmtId="43" fontId="26" fillId="13" borderId="2" xfId="11" applyFont="1" applyFill="1" applyBorder="1" applyAlignment="1">
      <alignment horizontal="center" vertical="center" wrapText="1"/>
    </xf>
    <xf numFmtId="0" fontId="26" fillId="13" borderId="2" xfId="0" applyFont="1" applyFill="1" applyBorder="1" applyAlignment="1">
      <alignment horizontal="center" vertical="center" wrapText="1"/>
    </xf>
    <xf numFmtId="0" fontId="22" fillId="13" borderId="5" xfId="0" applyFont="1" applyFill="1" applyBorder="1" applyAlignment="1">
      <alignment horizontal="center" vertical="center" wrapText="1"/>
    </xf>
    <xf numFmtId="43" fontId="22" fillId="13" borderId="5" xfId="11" applyFont="1" applyFill="1" applyBorder="1" applyAlignment="1">
      <alignment horizontal="center" vertical="center" wrapText="1"/>
    </xf>
    <xf numFmtId="43" fontId="22" fillId="13" borderId="2" xfId="11" applyFont="1" applyFill="1" applyBorder="1" applyAlignment="1">
      <alignment horizontal="center" vertical="center" wrapText="1"/>
    </xf>
    <xf numFmtId="0" fontId="22" fillId="13" borderId="2" xfId="0" applyFont="1" applyFill="1" applyBorder="1" applyAlignment="1">
      <alignment horizontal="center" vertical="center" wrapText="1"/>
    </xf>
    <xf numFmtId="0" fontId="20" fillId="2" borderId="0" xfId="0" applyFont="1" applyFill="1" applyAlignment="1">
      <alignment horizontal="left" vertical="top"/>
    </xf>
    <xf numFmtId="0" fontId="18" fillId="0" borderId="2" xfId="0" applyFont="1" applyBorder="1" applyAlignment="1">
      <alignment vertical="center" wrapText="1"/>
    </xf>
    <xf numFmtId="0" fontId="18" fillId="0" borderId="2" xfId="0" applyFont="1" applyBorder="1" applyAlignment="1">
      <alignment horizontal="center" vertical="center" wrapText="1"/>
    </xf>
    <xf numFmtId="43" fontId="18" fillId="4" borderId="2" xfId="11" applyFont="1" applyFill="1" applyBorder="1" applyAlignment="1">
      <alignment horizontal="right" vertical="center" wrapText="1"/>
    </xf>
    <xf numFmtId="0" fontId="20" fillId="18" borderId="2" xfId="15" applyFont="1" applyAlignment="1">
      <alignment horizontal="right" vertical="center"/>
    </xf>
    <xf numFmtId="0" fontId="18" fillId="0" borderId="2" xfId="0" applyFont="1" applyBorder="1" applyAlignment="1">
      <alignment horizontal="left" vertical="center" wrapText="1"/>
    </xf>
    <xf numFmtId="171" fontId="18" fillId="4" borderId="2" xfId="11" applyNumberFormat="1" applyFont="1" applyFill="1" applyBorder="1" applyAlignment="1">
      <alignment horizontal="right" vertical="center" wrapText="1"/>
    </xf>
    <xf numFmtId="9" fontId="18" fillId="4" borderId="2" xfId="1" applyFont="1" applyFill="1" applyBorder="1" applyAlignment="1">
      <alignment horizontal="right" vertical="center" wrapText="1"/>
    </xf>
    <xf numFmtId="9" fontId="18" fillId="3" borderId="2" xfId="1" applyFont="1" applyFill="1" applyBorder="1" applyAlignment="1">
      <alignment horizontal="center" vertical="center" wrapText="1"/>
    </xf>
    <xf numFmtId="0" fontId="6" fillId="3" borderId="2" xfId="0" applyFont="1" applyFill="1" applyBorder="1" applyAlignment="1">
      <alignment horizontal="left" vertical="center" wrapText="1"/>
    </xf>
    <xf numFmtId="0" fontId="13" fillId="2" borderId="1" xfId="0" applyFont="1" applyFill="1" applyBorder="1" applyAlignment="1">
      <alignment vertical="center"/>
    </xf>
    <xf numFmtId="166" fontId="13" fillId="2" borderId="0" xfId="0" applyNumberFormat="1" applyFont="1" applyFill="1" applyAlignment="1">
      <alignment vertical="center"/>
    </xf>
    <xf numFmtId="0" fontId="25" fillId="2" borderId="14" xfId="0" applyFont="1" applyFill="1" applyBorder="1" applyAlignment="1">
      <alignment vertical="center"/>
    </xf>
    <xf numFmtId="0" fontId="25" fillId="2" borderId="14" xfId="0" applyFont="1" applyFill="1" applyBorder="1" applyAlignment="1">
      <alignment vertical="center" wrapText="1"/>
    </xf>
    <xf numFmtId="0" fontId="25" fillId="2" borderId="0" xfId="0" applyFont="1" applyFill="1" applyAlignment="1">
      <alignment vertical="center" wrapText="1"/>
    </xf>
    <xf numFmtId="0" fontId="20" fillId="18" borderId="2" xfId="15" applyAlignment="1">
      <alignment vertical="center"/>
    </xf>
    <xf numFmtId="0" fontId="3" fillId="2" borderId="0" xfId="0" applyFont="1" applyFill="1" applyAlignment="1">
      <alignment horizontal="left" vertical="center"/>
    </xf>
    <xf numFmtId="0" fontId="50" fillId="13" borderId="2" xfId="0" applyFont="1" applyFill="1" applyBorder="1" applyAlignment="1">
      <alignment horizontal="center" vertical="center" wrapText="1"/>
    </xf>
    <xf numFmtId="0" fontId="25" fillId="2" borderId="0" xfId="0" applyFont="1" applyFill="1" applyAlignment="1">
      <alignment horizontal="center" vertical="center" wrapText="1"/>
    </xf>
    <xf numFmtId="0" fontId="6" fillId="3" borderId="2" xfId="0" applyFont="1" applyFill="1" applyBorder="1" applyAlignment="1">
      <alignment horizontal="center" vertical="center" wrapText="1"/>
    </xf>
    <xf numFmtId="0" fontId="20" fillId="18" borderId="2" xfId="15" applyAlignment="1">
      <alignment horizontal="center" vertical="center"/>
    </xf>
    <xf numFmtId="0" fontId="18" fillId="9" borderId="2" xfId="0" applyFont="1" applyFill="1" applyBorder="1" applyAlignment="1">
      <alignment horizontal="center" vertical="center" wrapText="1"/>
    </xf>
    <xf numFmtId="0" fontId="18" fillId="9" borderId="5" xfId="0" applyFont="1" applyFill="1" applyBorder="1" applyAlignment="1">
      <alignment horizontal="center" vertical="center" wrapText="1"/>
    </xf>
    <xf numFmtId="49" fontId="5" fillId="8" borderId="2" xfId="0" applyNumberFormat="1" applyFont="1" applyFill="1" applyBorder="1" applyAlignment="1">
      <alignment horizontal="center" vertical="center" wrapText="1"/>
    </xf>
    <xf numFmtId="0" fontId="6" fillId="5" borderId="2" xfId="0" applyFont="1" applyFill="1" applyBorder="1" applyAlignment="1">
      <alignment horizontal="left" vertical="center" wrapText="1"/>
    </xf>
    <xf numFmtId="0" fontId="6" fillId="5" borderId="2" xfId="0" applyFont="1" applyFill="1" applyBorder="1" applyAlignment="1">
      <alignment vertical="center" wrapText="1"/>
    </xf>
    <xf numFmtId="0" fontId="6" fillId="6" borderId="2" xfId="0" applyFont="1" applyFill="1" applyBorder="1" applyAlignment="1">
      <alignment horizontal="left" vertical="center" wrapText="1"/>
    </xf>
    <xf numFmtId="0" fontId="51" fillId="6" borderId="5" xfId="0" applyFont="1" applyFill="1" applyBorder="1" applyAlignment="1">
      <alignment horizontal="left" vertical="top" wrapText="1"/>
    </xf>
    <xf numFmtId="0" fontId="51" fillId="6" borderId="2" xfId="0" applyFont="1" applyFill="1" applyBorder="1" applyAlignment="1">
      <alignment horizontal="left" vertical="top" wrapText="1"/>
    </xf>
    <xf numFmtId="0" fontId="3" fillId="6" borderId="2" xfId="4" quotePrefix="1" applyFill="1" applyBorder="1" applyAlignment="1">
      <alignment horizontal="left" vertical="center" wrapText="1"/>
    </xf>
    <xf numFmtId="0" fontId="52" fillId="13" borderId="2" xfId="0" applyFont="1" applyFill="1" applyBorder="1" applyAlignment="1">
      <alignment vertical="center"/>
    </xf>
    <xf numFmtId="0" fontId="4" fillId="2" borderId="0" xfId="0" applyFont="1" applyFill="1" applyAlignment="1">
      <alignment vertical="center" wrapText="1"/>
    </xf>
    <xf numFmtId="0" fontId="4" fillId="2" borderId="0" xfId="0" applyFont="1" applyFill="1" applyAlignment="1">
      <alignment horizontal="left" vertical="center"/>
    </xf>
    <xf numFmtId="0" fontId="3" fillId="18" borderId="2" xfId="16" applyBorder="1">
      <alignment vertical="center"/>
    </xf>
    <xf numFmtId="0" fontId="22" fillId="13" borderId="2" xfId="0" applyFont="1" applyFill="1" applyBorder="1" applyAlignment="1">
      <alignment horizontal="left" vertical="center"/>
    </xf>
    <xf numFmtId="0" fontId="3" fillId="13" borderId="2" xfId="0" applyFont="1" applyFill="1" applyBorder="1" applyAlignment="1">
      <alignment vertical="center" wrapText="1"/>
    </xf>
    <xf numFmtId="0" fontId="6" fillId="13" borderId="2" xfId="0" applyFont="1" applyFill="1" applyBorder="1" applyAlignment="1">
      <alignment horizontal="left" vertical="center" wrapText="1"/>
    </xf>
    <xf numFmtId="0" fontId="51" fillId="6" borderId="2" xfId="0" applyFont="1" applyFill="1" applyBorder="1" applyAlignment="1">
      <alignment horizontal="left" vertical="center" wrapText="1"/>
    </xf>
    <xf numFmtId="0" fontId="3" fillId="7" borderId="0" xfId="21" applyFont="1" applyFill="1" applyAlignment="1" applyProtection="1">
      <alignment vertical="center"/>
      <protection locked="0"/>
    </xf>
    <xf numFmtId="0" fontId="48" fillId="2" borderId="2" xfId="8" applyFont="1" applyFill="1" applyAlignment="1" applyProtection="1">
      <alignment vertical="center" wrapText="1"/>
    </xf>
    <xf numFmtId="0" fontId="20" fillId="2" borderId="0" xfId="3" applyFont="1" applyFill="1" applyAlignment="1">
      <alignment horizontal="left" vertical="center" wrapText="1"/>
    </xf>
    <xf numFmtId="0" fontId="24" fillId="2" borderId="0" xfId="3" applyFont="1" applyFill="1" applyAlignment="1">
      <alignment horizontal="justify"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21" xfId="0" applyFont="1" applyBorder="1" applyAlignment="1">
      <alignment vertical="center" wrapText="1"/>
    </xf>
    <xf numFmtId="0" fontId="31" fillId="6" borderId="12" xfId="8" applyFont="1" applyBorder="1" applyAlignment="1">
      <alignment horizontal="left" vertical="center" wrapText="1"/>
      <protection locked="0"/>
    </xf>
    <xf numFmtId="0" fontId="31" fillId="6" borderId="34" xfId="8" applyFont="1" applyBorder="1" applyAlignment="1">
      <alignment horizontal="left" vertical="center" wrapText="1"/>
      <protection locked="0"/>
    </xf>
    <xf numFmtId="0" fontId="31" fillId="6" borderId="13" xfId="8" applyFont="1" applyBorder="1" applyAlignment="1">
      <alignment horizontal="left" vertical="center" wrapText="1"/>
      <protection locked="0"/>
    </xf>
    <xf numFmtId="0" fontId="13" fillId="2" borderId="0" xfId="0" quotePrefix="1" applyFont="1" applyFill="1" applyAlignment="1">
      <alignment horizontal="left" wrapText="1"/>
    </xf>
    <xf numFmtId="0" fontId="13" fillId="2" borderId="0" xfId="0" applyFont="1" applyFill="1" applyAlignment="1">
      <alignment horizontal="left" wrapText="1"/>
    </xf>
    <xf numFmtId="0" fontId="17" fillId="8" borderId="3" xfId="0" applyFont="1" applyFill="1" applyBorder="1" applyAlignment="1">
      <alignment horizontal="center" vertical="center" wrapText="1"/>
    </xf>
    <xf numFmtId="0" fontId="17" fillId="8" borderId="4"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17" fillId="8" borderId="6" xfId="0" applyFont="1" applyFill="1" applyBorder="1" applyAlignment="1">
      <alignment horizontal="center" vertical="center" wrapText="1"/>
    </xf>
    <xf numFmtId="0" fontId="17" fillId="8" borderId="7"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1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3" fillId="2" borderId="14" xfId="3" applyFill="1" applyBorder="1" applyAlignment="1" applyProtection="1">
      <alignment horizontal="left" vertical="top" wrapText="1"/>
      <protection locked="0" hidden="1"/>
    </xf>
    <xf numFmtId="0" fontId="24" fillId="2" borderId="0" xfId="3" applyFont="1" applyFill="1" applyAlignment="1" applyProtection="1">
      <alignment horizontal="justify" vertical="center" wrapText="1"/>
      <protection locked="0" hidden="1"/>
    </xf>
    <xf numFmtId="0" fontId="5" fillId="8" borderId="5"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48" fillId="0" borderId="15" xfId="3" applyFont="1" applyBorder="1" applyAlignment="1">
      <alignment horizontal="center" vertical="center" wrapText="1"/>
    </xf>
  </cellXfs>
  <cellStyles count="22">
    <cellStyle name="Comma" xfId="11" builtinId="3"/>
    <cellStyle name="Comma 2" xfId="14" xr:uid="{00000000-0005-0000-0000-000001000000}"/>
    <cellStyle name="Comma 3" xfId="20" xr:uid="{0EF74B57-03CC-4DD5-B638-0235DC29B04A}"/>
    <cellStyle name="Comment_text" xfId="8" xr:uid="{5BD6C460-67CC-4B62-9C85-4A401D7A22E5}"/>
    <cellStyle name="Data_entry" xfId="17" xr:uid="{FB07B93B-B7B6-4F28-88B5-D37A9E929044}"/>
    <cellStyle name="Hyperlink" xfId="2" builtinId="8"/>
    <cellStyle name="List_entry" xfId="18" xr:uid="{F2A20E88-E5DC-4AB9-82DA-C9FACF62E2C8}"/>
    <cellStyle name="N_Calc1" xfId="13" xr:uid="{00000000-0005-0000-0000-000003000000}"/>
    <cellStyle name="N_Table1_Header" xfId="12" xr:uid="{00000000-0005-0000-0000-000004000000}"/>
    <cellStyle name="NoData" xfId="15" xr:uid="{00000000-0005-0000-0000-000005000000}"/>
    <cellStyle name="NoData 2" xfId="16" xr:uid="{00000000-0005-0000-0000-000006000000}"/>
    <cellStyle name="Normal" xfId="0" builtinId="0"/>
    <cellStyle name="Normal 10 2" xfId="9" xr:uid="{00000000-0005-0000-0000-000008000000}"/>
    <cellStyle name="Normal 10 2 2" xfId="10" xr:uid="{00000000-0005-0000-0000-000009000000}"/>
    <cellStyle name="Normal 2" xfId="3" xr:uid="{00000000-0005-0000-0000-00000A000000}"/>
    <cellStyle name="Normal 2 11" xfId="6" xr:uid="{00000000-0005-0000-0000-00000B000000}"/>
    <cellStyle name="Normal 2 2 4" xfId="7" xr:uid="{00000000-0005-0000-0000-00000C000000}"/>
    <cellStyle name="Normal_Book3" xfId="4" xr:uid="{00000000-0005-0000-0000-00000D000000}"/>
    <cellStyle name="Normal_Emissions Barra do Riacho" xfId="21" xr:uid="{F19800E4-42AF-4F4E-8595-2D02FE056398}"/>
    <cellStyle name="Percent" xfId="1" builtinId="5"/>
    <cellStyle name="Separador de milhares 2" xfId="5" xr:uid="{00000000-0005-0000-0000-000011000000}"/>
    <cellStyle name="Separador de milhares 2 2" xfId="19" xr:uid="{2BB1497F-0814-4348-B85D-D83478FCCC25}"/>
  </cellStyles>
  <dxfs count="23">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font>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00538B"/>
      <color rgb="FFBFBFBF"/>
      <color rgb="FFEAEAEA"/>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114"/>
  <sheetViews>
    <sheetView tabSelected="1" zoomScaleNormal="100" workbookViewId="0"/>
  </sheetViews>
  <sheetFormatPr defaultColWidth="9.140625" defaultRowHeight="14.25" x14ac:dyDescent="0.2"/>
  <cols>
    <col min="1" max="1" width="43.85546875" style="122" customWidth="1"/>
    <col min="2" max="2" width="120.140625" style="122" customWidth="1"/>
    <col min="3" max="16384" width="9.140625" style="3"/>
  </cols>
  <sheetData>
    <row r="1" spans="1:2" s="169" customFormat="1" ht="15" x14ac:dyDescent="0.2">
      <c r="A1" s="168" t="s">
        <v>727</v>
      </c>
      <c r="B1" s="168"/>
    </row>
    <row r="3" spans="1:2" ht="15" x14ac:dyDescent="0.2">
      <c r="A3" s="170" t="s">
        <v>0</v>
      </c>
      <c r="B3" s="170"/>
    </row>
    <row r="4" spans="1:2" ht="123.75" customHeight="1" x14ac:dyDescent="0.2">
      <c r="A4" s="274" t="s">
        <v>657</v>
      </c>
      <c r="B4" s="274"/>
    </row>
    <row r="5" spans="1:2" ht="42" customHeight="1" x14ac:dyDescent="0.2">
      <c r="A5" s="275" t="s">
        <v>541</v>
      </c>
      <c r="B5" s="275"/>
    </row>
    <row r="6" spans="1:2" ht="14.25" customHeight="1" x14ac:dyDescent="0.2">
      <c r="A6" s="171"/>
      <c r="B6" s="171"/>
    </row>
    <row r="7" spans="1:2" ht="15" x14ac:dyDescent="0.2">
      <c r="A7" s="170" t="s">
        <v>1</v>
      </c>
      <c r="B7" s="172"/>
    </row>
    <row r="8" spans="1:2" ht="15" x14ac:dyDescent="0.2">
      <c r="A8" s="173"/>
      <c r="B8" s="174"/>
    </row>
    <row r="9" spans="1:2" x14ac:dyDescent="0.2">
      <c r="A9" s="174" t="s">
        <v>2</v>
      </c>
      <c r="B9" s="174"/>
    </row>
    <row r="10" spans="1:2" ht="15" thickBot="1" x14ac:dyDescent="0.25">
      <c r="A10" s="174"/>
      <c r="B10" s="174"/>
    </row>
    <row r="11" spans="1:2" ht="15.75" thickBot="1" x14ac:dyDescent="0.25">
      <c r="A11" s="13" t="s">
        <v>3</v>
      </c>
      <c r="B11" s="174"/>
    </row>
    <row r="12" spans="1:2" ht="15" thickBot="1" x14ac:dyDescent="0.25">
      <c r="A12" s="175" t="s">
        <v>4</v>
      </c>
      <c r="B12" s="174"/>
    </row>
    <row r="13" spans="1:2" ht="15" thickBot="1" x14ac:dyDescent="0.25">
      <c r="A13" s="176" t="s">
        <v>5</v>
      </c>
      <c r="B13" s="174"/>
    </row>
    <row r="14" spans="1:2" ht="15" thickBot="1" x14ac:dyDescent="0.25">
      <c r="A14" s="14" t="s">
        <v>6</v>
      </c>
      <c r="B14" s="174"/>
    </row>
    <row r="15" spans="1:2" ht="15" thickBot="1" x14ac:dyDescent="0.25">
      <c r="A15" s="177" t="s">
        <v>7</v>
      </c>
      <c r="B15" s="174"/>
    </row>
    <row r="16" spans="1:2" ht="15" thickBot="1" x14ac:dyDescent="0.25">
      <c r="A16" s="178" t="s">
        <v>8</v>
      </c>
      <c r="B16" s="174"/>
    </row>
    <row r="17" spans="1:3" x14ac:dyDescent="0.2">
      <c r="A17" s="174"/>
      <c r="B17" s="174"/>
    </row>
    <row r="18" spans="1:3" ht="15" x14ac:dyDescent="0.2">
      <c r="A18" s="170" t="s">
        <v>9</v>
      </c>
      <c r="B18" s="172"/>
    </row>
    <row r="19" spans="1:3" ht="15" x14ac:dyDescent="0.2">
      <c r="A19" s="173"/>
      <c r="B19" s="174"/>
    </row>
    <row r="20" spans="1:3" ht="15" thickBot="1" x14ac:dyDescent="0.25">
      <c r="A20" s="174" t="s">
        <v>10</v>
      </c>
      <c r="B20" s="174"/>
    </row>
    <row r="21" spans="1:3" ht="33.6" customHeight="1" thickBot="1" x14ac:dyDescent="0.25">
      <c r="A21" s="179" t="s">
        <v>578</v>
      </c>
      <c r="B21" s="180" t="s">
        <v>581</v>
      </c>
    </row>
    <row r="22" spans="1:3" ht="33.6" customHeight="1" thickBot="1" x14ac:dyDescent="0.25">
      <c r="A22" s="179" t="s">
        <v>11</v>
      </c>
      <c r="B22" s="180" t="s">
        <v>596</v>
      </c>
    </row>
    <row r="23" spans="1:3" ht="33.6" customHeight="1" thickBot="1" x14ac:dyDescent="0.25">
      <c r="A23" s="179" t="s">
        <v>12</v>
      </c>
      <c r="B23" s="180" t="s">
        <v>594</v>
      </c>
    </row>
    <row r="24" spans="1:3" ht="33.6" customHeight="1" thickBot="1" x14ac:dyDescent="0.25">
      <c r="A24" s="179" t="s">
        <v>580</v>
      </c>
      <c r="B24" s="180" t="s">
        <v>582</v>
      </c>
    </row>
    <row r="25" spans="1:3" ht="33.6" customHeight="1" thickBot="1" x14ac:dyDescent="0.25">
      <c r="A25" s="179" t="s">
        <v>579</v>
      </c>
      <c r="B25" s="180" t="s">
        <v>583</v>
      </c>
    </row>
    <row r="26" spans="1:3" ht="33.6" customHeight="1" thickBot="1" x14ac:dyDescent="0.25">
      <c r="A26" s="179" t="s">
        <v>15</v>
      </c>
      <c r="B26" s="180" t="s">
        <v>16</v>
      </c>
    </row>
    <row r="27" spans="1:3" ht="33.6" customHeight="1" x14ac:dyDescent="0.2">
      <c r="A27" s="179" t="s">
        <v>602</v>
      </c>
      <c r="B27" s="181" t="s">
        <v>590</v>
      </c>
      <c r="C27" s="182" t="s">
        <v>17</v>
      </c>
    </row>
    <row r="28" spans="1:3" ht="33.6" customHeight="1" thickBot="1" x14ac:dyDescent="0.25">
      <c r="A28" s="183" t="s">
        <v>18</v>
      </c>
      <c r="B28" s="184" t="s">
        <v>19</v>
      </c>
      <c r="C28" s="182"/>
    </row>
    <row r="29" spans="1:3" s="186" customFormat="1" ht="24.95" customHeight="1" thickBot="1" x14ac:dyDescent="0.3">
      <c r="A29" s="185" t="s">
        <v>584</v>
      </c>
      <c r="B29" s="180" t="s">
        <v>585</v>
      </c>
    </row>
    <row r="30" spans="1:3" s="186" customFormat="1" ht="24.95" customHeight="1" thickBot="1" x14ac:dyDescent="0.3">
      <c r="A30" s="185" t="s">
        <v>586</v>
      </c>
      <c r="B30" s="180" t="s">
        <v>587</v>
      </c>
    </row>
    <row r="31" spans="1:3" x14ac:dyDescent="0.2">
      <c r="A31" s="187"/>
      <c r="B31" s="188"/>
    </row>
    <row r="32" spans="1:3" ht="15" x14ac:dyDescent="0.2">
      <c r="A32" s="170" t="s">
        <v>20</v>
      </c>
      <c r="B32" s="172"/>
    </row>
    <row r="33" spans="1:2" ht="15" x14ac:dyDescent="0.2">
      <c r="A33" s="173"/>
      <c r="B33" s="174"/>
    </row>
    <row r="34" spans="1:2" ht="19.5" thickBot="1" x14ac:dyDescent="0.25">
      <c r="A34" s="15" t="s">
        <v>21</v>
      </c>
      <c r="B34" s="225" t="s">
        <v>539</v>
      </c>
    </row>
    <row r="35" spans="1:2" ht="19.5" thickBot="1" x14ac:dyDescent="0.25">
      <c r="A35" s="15" t="s">
        <v>22</v>
      </c>
      <c r="B35" s="225" t="s">
        <v>654</v>
      </c>
    </row>
    <row r="36" spans="1:2" ht="42" thickBot="1" x14ac:dyDescent="0.25">
      <c r="A36" s="15" t="s">
        <v>23</v>
      </c>
      <c r="B36" s="225" t="s">
        <v>670</v>
      </c>
    </row>
    <row r="37" spans="1:2" ht="19.5" thickBot="1" x14ac:dyDescent="0.25">
      <c r="A37" s="15" t="s">
        <v>24</v>
      </c>
      <c r="B37" s="225" t="s">
        <v>25</v>
      </c>
    </row>
    <row r="38" spans="1:2" ht="19.5" thickBot="1" x14ac:dyDescent="0.25">
      <c r="A38" s="15" t="s">
        <v>26</v>
      </c>
      <c r="B38" s="225" t="s">
        <v>655</v>
      </c>
    </row>
    <row r="39" spans="1:2" ht="26.25" thickBot="1" x14ac:dyDescent="0.25">
      <c r="A39" s="15" t="s">
        <v>27</v>
      </c>
      <c r="B39" s="225" t="s">
        <v>656</v>
      </c>
    </row>
    <row r="40" spans="1:2" ht="54.75" thickBot="1" x14ac:dyDescent="0.25">
      <c r="A40" s="15" t="s">
        <v>28</v>
      </c>
      <c r="B40" s="225" t="s">
        <v>683</v>
      </c>
    </row>
    <row r="42" spans="1:2" ht="15" x14ac:dyDescent="0.2">
      <c r="A42" s="170" t="s">
        <v>29</v>
      </c>
      <c r="B42" s="172"/>
    </row>
    <row r="43" spans="1:2" ht="15.75" thickBot="1" x14ac:dyDescent="0.25">
      <c r="A43" s="173"/>
      <c r="B43" s="174"/>
    </row>
    <row r="44" spans="1:2" ht="15.75" thickBot="1" x14ac:dyDescent="0.25">
      <c r="A44" s="13" t="s">
        <v>30</v>
      </c>
      <c r="B44" s="13" t="s">
        <v>31</v>
      </c>
    </row>
    <row r="45" spans="1:2" ht="15" thickBot="1" x14ac:dyDescent="0.25">
      <c r="A45" s="15" t="s">
        <v>32</v>
      </c>
      <c r="B45" s="15" t="s">
        <v>610</v>
      </c>
    </row>
    <row r="46" spans="1:2" ht="15" thickBot="1" x14ac:dyDescent="0.25">
      <c r="A46" s="15" t="s">
        <v>33</v>
      </c>
      <c r="B46" s="15" t="s">
        <v>34</v>
      </c>
    </row>
    <row r="47" spans="1:2" ht="15" thickBot="1" x14ac:dyDescent="0.25">
      <c r="A47" s="15" t="s">
        <v>33</v>
      </c>
      <c r="B47" s="15" t="s">
        <v>36</v>
      </c>
    </row>
    <row r="48" spans="1:2" ht="15" thickBot="1" x14ac:dyDescent="0.25">
      <c r="A48" s="15" t="s">
        <v>33</v>
      </c>
      <c r="B48" s="15" t="s">
        <v>35</v>
      </c>
    </row>
    <row r="49" spans="1:2" ht="15" thickBot="1" x14ac:dyDescent="0.25">
      <c r="A49" s="15" t="s">
        <v>33</v>
      </c>
      <c r="B49" s="15" t="s">
        <v>37</v>
      </c>
    </row>
    <row r="50" spans="1:2" ht="15" thickBot="1" x14ac:dyDescent="0.25">
      <c r="A50" s="15" t="s">
        <v>33</v>
      </c>
      <c r="B50" s="15" t="s">
        <v>38</v>
      </c>
    </row>
    <row r="51" spans="1:2" ht="15" thickBot="1" x14ac:dyDescent="0.25">
      <c r="A51" s="15" t="s">
        <v>33</v>
      </c>
      <c r="B51" s="15" t="s">
        <v>39</v>
      </c>
    </row>
    <row r="52" spans="1:2" ht="15" thickBot="1" x14ac:dyDescent="0.25">
      <c r="A52" s="15" t="s">
        <v>40</v>
      </c>
      <c r="B52" s="15" t="s">
        <v>41</v>
      </c>
    </row>
    <row r="53" spans="1:2" ht="15" thickBot="1" x14ac:dyDescent="0.25">
      <c r="A53" s="15" t="s">
        <v>40</v>
      </c>
      <c r="B53" s="15" t="s">
        <v>42</v>
      </c>
    </row>
    <row r="54" spans="1:2" ht="15" thickBot="1" x14ac:dyDescent="0.25">
      <c r="A54" s="15" t="s">
        <v>40</v>
      </c>
      <c r="B54" s="15" t="s">
        <v>43</v>
      </c>
    </row>
    <row r="55" spans="1:2" ht="15" thickBot="1" x14ac:dyDescent="0.25">
      <c r="A55" s="15" t="s">
        <v>40</v>
      </c>
      <c r="B55" s="15" t="s">
        <v>44</v>
      </c>
    </row>
    <row r="56" spans="1:2" ht="15" thickBot="1" x14ac:dyDescent="0.25">
      <c r="A56" s="15" t="s">
        <v>40</v>
      </c>
      <c r="B56" s="15" t="s">
        <v>45</v>
      </c>
    </row>
    <row r="57" spans="1:2" ht="15" thickBot="1" x14ac:dyDescent="0.25">
      <c r="A57" s="15" t="s">
        <v>40</v>
      </c>
      <c r="B57" s="15" t="s">
        <v>507</v>
      </c>
    </row>
    <row r="58" spans="1:2" ht="15" thickBot="1" x14ac:dyDescent="0.25">
      <c r="A58" s="15" t="s">
        <v>46</v>
      </c>
      <c r="B58" s="15" t="s">
        <v>47</v>
      </c>
    </row>
    <row r="59" spans="1:2" ht="15" thickBot="1" x14ac:dyDescent="0.25">
      <c r="A59" s="15" t="s">
        <v>46</v>
      </c>
      <c r="B59" s="15" t="s">
        <v>508</v>
      </c>
    </row>
    <row r="60" spans="1:2" ht="15" thickBot="1" x14ac:dyDescent="0.25">
      <c r="A60" s="15" t="s">
        <v>46</v>
      </c>
      <c r="B60" s="15" t="s">
        <v>168</v>
      </c>
    </row>
    <row r="61" spans="1:2" ht="15" thickBot="1" x14ac:dyDescent="0.25">
      <c r="A61" s="15" t="s">
        <v>46</v>
      </c>
      <c r="B61" s="15" t="s">
        <v>170</v>
      </c>
    </row>
    <row r="62" spans="1:2" ht="15" thickBot="1" x14ac:dyDescent="0.25">
      <c r="A62" s="15" t="s">
        <v>46</v>
      </c>
      <c r="B62" s="15" t="s">
        <v>173</v>
      </c>
    </row>
    <row r="63" spans="1:2" ht="15" thickBot="1" x14ac:dyDescent="0.25">
      <c r="A63" s="15" t="s">
        <v>46</v>
      </c>
      <c r="B63" s="15" t="s">
        <v>48</v>
      </c>
    </row>
    <row r="64" spans="1:2" ht="15" thickBot="1" x14ac:dyDescent="0.25">
      <c r="A64" s="189" t="s">
        <v>49</v>
      </c>
      <c r="B64" s="15" t="s">
        <v>50</v>
      </c>
    </row>
    <row r="65" spans="1:2" ht="15" thickBot="1" x14ac:dyDescent="0.25">
      <c r="A65" s="189" t="s">
        <v>49</v>
      </c>
      <c r="B65" s="15" t="s">
        <v>51</v>
      </c>
    </row>
    <row r="66" spans="1:2" ht="15" thickBot="1" x14ac:dyDescent="0.25">
      <c r="A66" s="189" t="s">
        <v>49</v>
      </c>
      <c r="B66" s="15" t="s">
        <v>52</v>
      </c>
    </row>
    <row r="67" spans="1:2" ht="15" thickBot="1" x14ac:dyDescent="0.25">
      <c r="A67" s="189" t="s">
        <v>49</v>
      </c>
      <c r="B67" s="15" t="s">
        <v>53</v>
      </c>
    </row>
    <row r="68" spans="1:2" ht="15" thickBot="1" x14ac:dyDescent="0.25">
      <c r="A68" s="189" t="s">
        <v>49</v>
      </c>
      <c r="B68" s="15" t="s">
        <v>54</v>
      </c>
    </row>
    <row r="69" spans="1:2" ht="15" thickBot="1" x14ac:dyDescent="0.25">
      <c r="A69" s="189" t="s">
        <v>49</v>
      </c>
      <c r="B69" s="15" t="s">
        <v>55</v>
      </c>
    </row>
    <row r="70" spans="1:2" ht="15" thickBot="1" x14ac:dyDescent="0.25">
      <c r="A70" s="189" t="s">
        <v>49</v>
      </c>
      <c r="B70" s="15" t="s">
        <v>56</v>
      </c>
    </row>
    <row r="71" spans="1:2" ht="15" thickBot="1" x14ac:dyDescent="0.25">
      <c r="A71" s="189" t="s">
        <v>49</v>
      </c>
      <c r="B71" s="15" t="s">
        <v>57</v>
      </c>
    </row>
    <row r="72" spans="1:2" ht="15" thickBot="1" x14ac:dyDescent="0.25">
      <c r="A72" s="189" t="s">
        <v>49</v>
      </c>
      <c r="B72" s="15" t="s">
        <v>58</v>
      </c>
    </row>
    <row r="73" spans="1:2" ht="15" thickBot="1" x14ac:dyDescent="0.25">
      <c r="A73" s="189" t="s">
        <v>49</v>
      </c>
      <c r="B73" s="15" t="s">
        <v>59</v>
      </c>
    </row>
    <row r="74" spans="1:2" ht="15" thickBot="1" x14ac:dyDescent="0.25">
      <c r="A74" s="189" t="s">
        <v>49</v>
      </c>
      <c r="B74" s="15" t="s">
        <v>60</v>
      </c>
    </row>
    <row r="75" spans="1:2" ht="15" thickBot="1" x14ac:dyDescent="0.25">
      <c r="A75" s="15" t="s">
        <v>61</v>
      </c>
      <c r="B75" s="15" t="s">
        <v>62</v>
      </c>
    </row>
    <row r="76" spans="1:2" ht="15" thickBot="1" x14ac:dyDescent="0.25">
      <c r="A76" s="15" t="s">
        <v>61</v>
      </c>
      <c r="B76" s="15" t="s">
        <v>63</v>
      </c>
    </row>
    <row r="77" spans="1:2" ht="15" thickBot="1" x14ac:dyDescent="0.25">
      <c r="A77" s="15" t="s">
        <v>61</v>
      </c>
      <c r="B77" s="15" t="s">
        <v>64</v>
      </c>
    </row>
    <row r="78" spans="1:2" ht="15" thickBot="1" x14ac:dyDescent="0.25">
      <c r="A78" s="15" t="s">
        <v>61</v>
      </c>
      <c r="B78" s="15" t="s">
        <v>65</v>
      </c>
    </row>
    <row r="79" spans="1:2" ht="15" thickBot="1" x14ac:dyDescent="0.25">
      <c r="A79" s="15" t="s">
        <v>61</v>
      </c>
      <c r="B79" s="15" t="s">
        <v>66</v>
      </c>
    </row>
    <row r="80" spans="1:2" ht="15" thickBot="1" x14ac:dyDescent="0.25">
      <c r="A80" s="15" t="s">
        <v>67</v>
      </c>
      <c r="B80" s="15" t="s">
        <v>68</v>
      </c>
    </row>
    <row r="81" spans="1:2" ht="15" thickBot="1" x14ac:dyDescent="0.25">
      <c r="A81" s="15" t="s">
        <v>67</v>
      </c>
      <c r="B81" s="15" t="s">
        <v>69</v>
      </c>
    </row>
    <row r="82" spans="1:2" ht="15" thickBot="1" x14ac:dyDescent="0.25">
      <c r="A82" s="15" t="s">
        <v>67</v>
      </c>
      <c r="B82" s="15" t="s">
        <v>70</v>
      </c>
    </row>
    <row r="83" spans="1:2" ht="15" thickBot="1" x14ac:dyDescent="0.25">
      <c r="A83" s="15" t="s">
        <v>67</v>
      </c>
      <c r="B83" s="15" t="s">
        <v>71</v>
      </c>
    </row>
    <row r="84" spans="1:2" ht="15" thickBot="1" x14ac:dyDescent="0.25">
      <c r="A84" s="15" t="s">
        <v>67</v>
      </c>
      <c r="B84" s="15" t="s">
        <v>72</v>
      </c>
    </row>
    <row r="85" spans="1:2" ht="15" thickBot="1" x14ac:dyDescent="0.25">
      <c r="A85" s="15" t="s">
        <v>67</v>
      </c>
      <c r="B85" s="15" t="s">
        <v>668</v>
      </c>
    </row>
    <row r="86" spans="1:2" ht="15" thickBot="1" x14ac:dyDescent="0.25">
      <c r="A86" s="15" t="s">
        <v>67</v>
      </c>
      <c r="B86" s="15" t="s">
        <v>73</v>
      </c>
    </row>
    <row r="87" spans="1:2" ht="15" thickBot="1" x14ac:dyDescent="0.25">
      <c r="A87" s="15" t="s">
        <v>74</v>
      </c>
      <c r="B87" s="15" t="s">
        <v>74</v>
      </c>
    </row>
    <row r="88" spans="1:2" ht="29.25" thickBot="1" x14ac:dyDescent="0.25">
      <c r="A88" s="15" t="s">
        <v>509</v>
      </c>
      <c r="B88" s="15" t="s">
        <v>510</v>
      </c>
    </row>
    <row r="89" spans="1:2" ht="29.25" thickBot="1" x14ac:dyDescent="0.25">
      <c r="A89" s="15" t="s">
        <v>509</v>
      </c>
      <c r="B89" s="15" t="s">
        <v>511</v>
      </c>
    </row>
    <row r="90" spans="1:2" ht="15" thickBot="1" x14ac:dyDescent="0.25">
      <c r="A90" s="15" t="s">
        <v>75</v>
      </c>
      <c r="B90" s="15" t="s">
        <v>292</v>
      </c>
    </row>
    <row r="91" spans="1:2" ht="15" thickBot="1" x14ac:dyDescent="0.25">
      <c r="A91" s="15" t="s">
        <v>75</v>
      </c>
      <c r="B91" s="15" t="s">
        <v>290</v>
      </c>
    </row>
    <row r="92" spans="1:2" ht="19.5" thickBot="1" x14ac:dyDescent="0.25">
      <c r="A92" s="15" t="s">
        <v>75</v>
      </c>
      <c r="B92" s="15" t="s">
        <v>535</v>
      </c>
    </row>
    <row r="93" spans="1:2" ht="19.5" thickBot="1" x14ac:dyDescent="0.25">
      <c r="A93" s="15" t="s">
        <v>75</v>
      </c>
      <c r="B93" s="15" t="s">
        <v>536</v>
      </c>
    </row>
    <row r="94" spans="1:2" ht="15" thickBot="1" x14ac:dyDescent="0.25">
      <c r="A94" s="15" t="s">
        <v>75</v>
      </c>
      <c r="B94" s="15" t="s">
        <v>593</v>
      </c>
    </row>
    <row r="95" spans="1:2" ht="15" thickBot="1" x14ac:dyDescent="0.25">
      <c r="A95" s="15" t="s">
        <v>591</v>
      </c>
      <c r="B95" s="15" t="s">
        <v>592</v>
      </c>
    </row>
    <row r="110" spans="2:2" x14ac:dyDescent="0.2">
      <c r="B110" s="127"/>
    </row>
    <row r="111" spans="2:2" x14ac:dyDescent="0.2">
      <c r="B111" s="127"/>
    </row>
    <row r="112" spans="2:2" x14ac:dyDescent="0.2">
      <c r="B112" s="127"/>
    </row>
    <row r="113" spans="2:2" x14ac:dyDescent="0.2">
      <c r="B113" s="127"/>
    </row>
    <row r="114" spans="2:2" x14ac:dyDescent="0.2">
      <c r="B114" s="127"/>
    </row>
  </sheetData>
  <sheetProtection algorithmName="SHA-512" hashValue="/ePZyJIKnEJ7N0Pxx+7F9c9Tq+d5DvmiTXA+KbuqpZZk5XS3xAt5eBZtcDNYTySKNdvNSO8cjwjTZk47lEQw4Q==" saltValue="/b2jdXFqA0HyxJ9GL5Bwiw==" spinCount="100000" sheet="1" objects="1" scenarios="1"/>
  <mergeCells count="2">
    <mergeCell ref="A4:B4"/>
    <mergeCell ref="A5:B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08AA8-E6AC-48F1-81D6-001A7167C261}">
  <sheetPr codeName="Sheet12"/>
  <dimension ref="B2:C14"/>
  <sheetViews>
    <sheetView workbookViewId="0">
      <selection activeCell="C17" sqref="C17"/>
    </sheetView>
  </sheetViews>
  <sheetFormatPr defaultRowHeight="15" x14ac:dyDescent="0.25"/>
  <cols>
    <col min="2" max="2" width="64.7109375" bestFit="1" customWidth="1"/>
    <col min="3" max="3" width="72.42578125" bestFit="1" customWidth="1"/>
  </cols>
  <sheetData>
    <row r="2" spans="2:3" x14ac:dyDescent="0.25">
      <c r="B2" s="124" t="s">
        <v>534</v>
      </c>
      <c r="C2" s="125" t="s">
        <v>533</v>
      </c>
    </row>
    <row r="3" spans="2:3" x14ac:dyDescent="0.25">
      <c r="B3" s="126" t="str" cm="1">
        <f t="array" ref="B3:B13">_xlfn.UNIQUE('Overview EII'!A45:A95)</f>
        <v>Refineries</v>
      </c>
      <c r="C3" s="122" t="str" cm="1">
        <f t="array" ref="C3">Product_list</f>
        <v>Select sector first</v>
      </c>
    </row>
    <row r="4" spans="2:3" x14ac:dyDescent="0.25">
      <c r="B4" s="126" t="str">
        <v>Iron &amp; Steel</v>
      </c>
      <c r="C4" s="127"/>
    </row>
    <row r="5" spans="2:3" x14ac:dyDescent="0.25">
      <c r="B5" s="126" t="str">
        <v>Non-ferrous metals</v>
      </c>
      <c r="C5" s="127"/>
    </row>
    <row r="6" spans="2:3" x14ac:dyDescent="0.25">
      <c r="B6" s="126" t="str">
        <v>Cement &amp; Lime</v>
      </c>
      <c r="C6" s="127"/>
    </row>
    <row r="7" spans="2:3" x14ac:dyDescent="0.25">
      <c r="B7" s="123" t="str">
        <v>Glass, ceramics &amp; construction material</v>
      </c>
      <c r="C7" s="127"/>
    </row>
    <row r="8" spans="2:3" x14ac:dyDescent="0.25">
      <c r="B8" s="126" t="str">
        <v>Pulp &amp; paper</v>
      </c>
      <c r="C8" s="127"/>
    </row>
    <row r="9" spans="2:3" x14ac:dyDescent="0.25">
      <c r="B9" s="126" t="str">
        <v>Chemicals</v>
      </c>
      <c r="C9" s="127"/>
    </row>
    <row r="10" spans="2:3" x14ac:dyDescent="0.25">
      <c r="B10" s="126" t="str">
        <v>Hydrogen</v>
      </c>
      <c r="C10" s="127"/>
    </row>
    <row r="11" spans="2:3" x14ac:dyDescent="0.25">
      <c r="B11" s="126" t="str">
        <v xml:space="preserve">Manufacturing of components for energy intensive industries </v>
      </c>
      <c r="C11" s="127"/>
    </row>
    <row r="12" spans="2:3" x14ac:dyDescent="0.25">
      <c r="B12" s="126" t="str">
        <v>Other</v>
      </c>
      <c r="C12" s="127"/>
    </row>
    <row r="13" spans="2:3" x14ac:dyDescent="0.25">
      <c r="B13" s="122" t="str">
        <v>Buildings</v>
      </c>
      <c r="C13" s="127"/>
    </row>
    <row r="14" spans="2:3" x14ac:dyDescent="0.25">
      <c r="B14" s="122"/>
      <c r="C14" s="127"/>
    </row>
  </sheetData>
  <sheetProtection algorithmName="SHA-512" hashValue="AnMxl1Yth8oYyRQTZBO+JB1zcKHhKS/+TeJdH4LA6T0TaTa4hRYQ8W8EjouLX2NRaBVZ8jBK4bo4MhoxLzJNDA==" saltValue="GZnfwB34Y0jcCNrJJ7+is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F4DC34FB-509E-45AD-AF2C-30D5BF32496C}">
            <xm:f>B3=Summary!$B$6</xm:f>
            <x14:dxf>
              <font>
                <b/>
                <i val="0"/>
              </font>
              <border>
                <left style="thin">
                  <color auto="1"/>
                </left>
                <right style="thin">
                  <color auto="1"/>
                </right>
                <top style="thin">
                  <color auto="1"/>
                </top>
                <bottom style="thin">
                  <color auto="1"/>
                </bottom>
                <vertical/>
                <horizontal/>
              </border>
            </x14:dxf>
          </x14:cfRule>
          <xm:sqref>B3:B12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70"/>
  <sheetViews>
    <sheetView zoomScaleNormal="100" workbookViewId="0"/>
  </sheetViews>
  <sheetFormatPr defaultColWidth="9.140625" defaultRowHeight="14.25" x14ac:dyDescent="0.2"/>
  <cols>
    <col min="1" max="1" width="40.85546875" style="3" customWidth="1"/>
    <col min="2" max="2" width="29.85546875" style="3" customWidth="1"/>
    <col min="3" max="5" width="35.42578125" style="3" customWidth="1"/>
    <col min="6" max="6" width="36.85546875" style="3" customWidth="1"/>
    <col min="7" max="7" width="30.7109375" style="3" customWidth="1"/>
    <col min="8" max="8" width="27.28515625" style="3" customWidth="1"/>
    <col min="9" max="16384" width="9.140625" style="3"/>
  </cols>
  <sheetData>
    <row r="1" spans="1:8" ht="15" x14ac:dyDescent="0.2">
      <c r="A1" s="193" t="s">
        <v>76</v>
      </c>
      <c r="B1" s="19"/>
      <c r="C1" s="19"/>
      <c r="D1" s="134"/>
      <c r="E1" s="134"/>
      <c r="F1" s="134"/>
      <c r="G1" s="134"/>
      <c r="H1" s="20"/>
    </row>
    <row r="2" spans="1:8" ht="15" thickBot="1" x14ac:dyDescent="0.25">
      <c r="A2" s="194"/>
      <c r="B2" s="20"/>
      <c r="C2" s="20"/>
      <c r="D2" s="20"/>
      <c r="E2" s="20"/>
      <c r="F2" s="20"/>
      <c r="G2" s="20"/>
      <c r="H2" s="20"/>
    </row>
    <row r="3" spans="1:8" ht="15.75" thickBot="1" x14ac:dyDescent="0.25">
      <c r="A3" s="13" t="s">
        <v>76</v>
      </c>
      <c r="B3" s="13"/>
      <c r="C3" s="13" t="s">
        <v>588</v>
      </c>
      <c r="D3" s="13" t="s">
        <v>576</v>
      </c>
      <c r="E3" s="20"/>
      <c r="F3" s="20"/>
      <c r="G3" s="20"/>
      <c r="H3" s="20"/>
    </row>
    <row r="4" spans="1:8" ht="36.75" thickBot="1" x14ac:dyDescent="0.25">
      <c r="A4" s="195" t="s">
        <v>543</v>
      </c>
      <c r="B4" s="273" t="s">
        <v>542</v>
      </c>
      <c r="C4" s="142"/>
      <c r="D4" s="165" t="s">
        <v>548</v>
      </c>
      <c r="E4" s="114" t="str">
        <f>IF(B4="EII", "OK", "ERR")</f>
        <v>OK</v>
      </c>
      <c r="F4" s="20"/>
      <c r="G4" s="20"/>
      <c r="H4" s="20"/>
    </row>
    <row r="5" spans="1:8" ht="24.75" thickBot="1" x14ac:dyDescent="0.25">
      <c r="A5" s="195" t="s">
        <v>544</v>
      </c>
      <c r="B5" s="273" t="s">
        <v>624</v>
      </c>
      <c r="C5" s="138" t="s">
        <v>589</v>
      </c>
      <c r="D5" s="141"/>
      <c r="E5" s="20"/>
      <c r="F5" s="20"/>
      <c r="G5" s="20"/>
      <c r="H5" s="20"/>
    </row>
    <row r="6" spans="1:8" ht="24.75" thickBot="1" x14ac:dyDescent="0.25">
      <c r="A6" s="195" t="s">
        <v>30</v>
      </c>
      <c r="B6" s="129"/>
      <c r="C6" s="142"/>
      <c r="D6" s="165" t="s">
        <v>630</v>
      </c>
      <c r="E6" s="114" t="str">
        <f>IF(ISERROR(MATCH(B7,Product_list,0)), "ERR","OK")</f>
        <v>ERR</v>
      </c>
      <c r="F6" s="20"/>
      <c r="G6" s="20"/>
      <c r="H6" s="20"/>
    </row>
    <row r="7" spans="1:8" ht="36.75" thickBot="1" x14ac:dyDescent="0.25">
      <c r="A7" s="195" t="s">
        <v>626</v>
      </c>
      <c r="B7" s="129"/>
      <c r="C7" s="138" t="s">
        <v>609</v>
      </c>
      <c r="D7" s="141"/>
      <c r="F7" s="20"/>
      <c r="G7" s="20"/>
      <c r="H7" s="20"/>
    </row>
    <row r="8" spans="1:8" ht="84.75" thickBot="1" x14ac:dyDescent="0.25">
      <c r="A8" s="195" t="s">
        <v>628</v>
      </c>
      <c r="B8" s="128"/>
      <c r="C8" s="139" t="s">
        <v>716</v>
      </c>
      <c r="D8" s="141"/>
      <c r="E8" s="48"/>
      <c r="F8" s="20"/>
      <c r="G8" s="20"/>
      <c r="H8" s="20"/>
    </row>
    <row r="9" spans="1:8" ht="48.75" thickBot="1" x14ac:dyDescent="0.25">
      <c r="A9" s="195" t="s">
        <v>629</v>
      </c>
      <c r="B9" s="128"/>
      <c r="C9" s="138" t="s">
        <v>651</v>
      </c>
      <c r="D9" s="141"/>
      <c r="E9" s="48"/>
      <c r="F9" s="20"/>
      <c r="G9" s="20"/>
      <c r="H9" s="20"/>
    </row>
    <row r="10" spans="1:8" ht="60.75" thickBot="1" x14ac:dyDescent="0.25">
      <c r="A10" s="195" t="s">
        <v>627</v>
      </c>
      <c r="B10" s="128"/>
      <c r="C10" s="138" t="s">
        <v>717</v>
      </c>
      <c r="D10" s="141"/>
      <c r="E10" s="48"/>
      <c r="F10" s="20"/>
      <c r="G10" s="20"/>
      <c r="H10" s="20"/>
    </row>
    <row r="11" spans="1:8" ht="60.75" thickBot="1" x14ac:dyDescent="0.25">
      <c r="A11" s="195" t="s">
        <v>538</v>
      </c>
      <c r="B11" s="129" t="s">
        <v>537</v>
      </c>
      <c r="C11" s="138" t="s">
        <v>595</v>
      </c>
      <c r="D11" s="165" t="s">
        <v>611</v>
      </c>
      <c r="E11" s="114" t="str" cm="1">
        <f t="array" ref="E11">IF(AND(B11="Yes",MAX(ABS('Summary per year'!B13:L15),ABS('Summary per year'!B20:L22))=0), "ERR", IF(AND(B11="No",MAX(ABS('Summary per year'!B13:L15),ABS('Summary per year'!B20:L22))&lt;&gt;0),"ERR","OK"))</f>
        <v>OK</v>
      </c>
      <c r="F11" s="20"/>
      <c r="G11" s="20"/>
      <c r="H11" s="20"/>
    </row>
    <row r="12" spans="1:8" ht="43.5" thickBot="1" x14ac:dyDescent="0.25">
      <c r="A12" s="195" t="s">
        <v>575</v>
      </c>
      <c r="B12" s="128"/>
      <c r="C12" s="142"/>
      <c r="D12" s="141"/>
      <c r="E12" s="48"/>
      <c r="F12" s="20"/>
      <c r="G12" s="20"/>
      <c r="H12" s="20"/>
    </row>
    <row r="14" spans="1:8" ht="15" x14ac:dyDescent="0.2">
      <c r="A14" s="193" t="s">
        <v>78</v>
      </c>
      <c r="B14" s="19"/>
      <c r="C14" s="19"/>
      <c r="D14" s="19"/>
      <c r="E14" s="19"/>
      <c r="F14" s="19"/>
      <c r="G14" s="19"/>
    </row>
    <row r="15" spans="1:8" x14ac:dyDescent="0.2">
      <c r="A15" s="45" t="s">
        <v>79</v>
      </c>
    </row>
    <row r="16" spans="1:8" x14ac:dyDescent="0.2">
      <c r="A16" s="136" t="s">
        <v>643</v>
      </c>
    </row>
    <row r="17" spans="1:7" ht="15" thickBot="1" x14ac:dyDescent="0.25"/>
    <row r="18" spans="1:7" ht="15.75" thickBot="1" x14ac:dyDescent="0.25">
      <c r="A18" s="21" t="s">
        <v>100</v>
      </c>
      <c r="B18" s="13" t="s">
        <v>80</v>
      </c>
      <c r="C18" s="21" t="s">
        <v>13</v>
      </c>
      <c r="D18" s="13" t="s">
        <v>81</v>
      </c>
      <c r="E18" s="21" t="s">
        <v>14</v>
      </c>
      <c r="F18" s="13" t="s">
        <v>519</v>
      </c>
      <c r="G18" s="21" t="s">
        <v>597</v>
      </c>
    </row>
    <row r="19" spans="1:7" ht="19.5" thickBot="1" x14ac:dyDescent="0.25">
      <c r="A19" s="15" t="s">
        <v>82</v>
      </c>
      <c r="B19" s="22" t="s">
        <v>80</v>
      </c>
      <c r="C19" s="23" t="s">
        <v>83</v>
      </c>
      <c r="D19" s="22" t="s">
        <v>81</v>
      </c>
      <c r="E19" s="15" t="s">
        <v>84</v>
      </c>
      <c r="F19" s="22" t="s">
        <v>519</v>
      </c>
      <c r="G19" s="15" t="s">
        <v>598</v>
      </c>
    </row>
    <row r="20" spans="1:7" ht="15" thickBot="1" x14ac:dyDescent="0.25">
      <c r="A20" s="199">
        <f>C20-E20+G20</f>
        <v>0</v>
      </c>
      <c r="B20" s="22" t="s">
        <v>80</v>
      </c>
      <c r="C20" s="198">
        <f>+ 'Summary per year'!B16</f>
        <v>0</v>
      </c>
      <c r="D20" s="22" t="s">
        <v>81</v>
      </c>
      <c r="E20" s="197">
        <f>+ 'Summary per year'!B23</f>
        <v>0</v>
      </c>
      <c r="F20" s="22" t="s">
        <v>519</v>
      </c>
      <c r="G20" s="197">
        <f>+ 'Summary per year'!B25</f>
        <v>0</v>
      </c>
    </row>
    <row r="22" spans="1:7" ht="15" x14ac:dyDescent="0.2">
      <c r="A22" s="193" t="s">
        <v>85</v>
      </c>
      <c r="B22" s="19"/>
      <c r="C22" s="19"/>
      <c r="D22" s="19"/>
      <c r="E22" s="19"/>
      <c r="F22" s="19"/>
      <c r="G22" s="19"/>
    </row>
    <row r="23" spans="1:7" x14ac:dyDescent="0.2">
      <c r="A23" s="45" t="s">
        <v>86</v>
      </c>
    </row>
    <row r="24" spans="1:7" ht="15" thickBot="1" x14ac:dyDescent="0.25"/>
    <row r="25" spans="1:7" ht="30.75" thickBot="1" x14ac:dyDescent="0.25">
      <c r="A25" s="21" t="s">
        <v>101</v>
      </c>
      <c r="B25" s="13" t="s">
        <v>80</v>
      </c>
      <c r="C25" s="21" t="s">
        <v>100</v>
      </c>
      <c r="D25" s="13" t="s">
        <v>87</v>
      </c>
      <c r="E25" s="21" t="s">
        <v>13</v>
      </c>
      <c r="F25" s="109"/>
      <c r="G25" s="13" t="s">
        <v>576</v>
      </c>
    </row>
    <row r="26" spans="1:7" ht="24.75" thickBot="1" x14ac:dyDescent="0.25">
      <c r="A26" s="15" t="s">
        <v>88</v>
      </c>
      <c r="B26" s="22" t="s">
        <v>80</v>
      </c>
      <c r="C26" s="15" t="s">
        <v>82</v>
      </c>
      <c r="D26" s="22" t="s">
        <v>87</v>
      </c>
      <c r="E26" s="112" t="s">
        <v>83</v>
      </c>
      <c r="F26" s="110"/>
      <c r="G26" s="222" t="s">
        <v>599</v>
      </c>
    </row>
    <row r="27" spans="1:7" ht="15" thickBot="1" x14ac:dyDescent="0.25">
      <c r="A27" s="115">
        <f>IF(A20&lt;=0,0,IF(E27&lt;=0,200%,C27/E27))</f>
        <v>0</v>
      </c>
      <c r="B27" s="22" t="s">
        <v>80</v>
      </c>
      <c r="C27" s="198">
        <f>A20</f>
        <v>0</v>
      </c>
      <c r="D27" s="22" t="s">
        <v>87</v>
      </c>
      <c r="E27" s="197">
        <f xml:space="preserve"> C20</f>
        <v>0</v>
      </c>
      <c r="F27" s="111"/>
      <c r="G27" s="223" t="str">
        <f>IF(A20&lt;0,"NEGATIVE","OK")</f>
        <v>OK</v>
      </c>
    </row>
    <row r="29" spans="1:7" ht="15" x14ac:dyDescent="0.2">
      <c r="A29" s="193" t="s">
        <v>646</v>
      </c>
      <c r="B29" s="19"/>
      <c r="C29" s="19"/>
      <c r="D29" s="19"/>
      <c r="E29" s="19"/>
      <c r="F29" s="19"/>
      <c r="G29" s="19"/>
    </row>
    <row r="30" spans="1:7" x14ac:dyDescent="0.2">
      <c r="A30" s="45" t="s">
        <v>647</v>
      </c>
    </row>
    <row r="31" spans="1:7" ht="15" thickBot="1" x14ac:dyDescent="0.25"/>
    <row r="32" spans="1:7" ht="17.25" thickBot="1" x14ac:dyDescent="0.25">
      <c r="A32" s="24" t="s">
        <v>89</v>
      </c>
      <c r="B32" s="13" t="s">
        <v>83</v>
      </c>
      <c r="C32" s="13" t="s">
        <v>650</v>
      </c>
      <c r="D32" s="13" t="s">
        <v>649</v>
      </c>
    </row>
    <row r="33" spans="1:9" ht="15" customHeight="1" thickBot="1" x14ac:dyDescent="0.25">
      <c r="A33" s="25"/>
      <c r="B33" s="26" t="s">
        <v>90</v>
      </c>
      <c r="C33" s="26" t="s">
        <v>90</v>
      </c>
      <c r="D33" s="26" t="s">
        <v>90</v>
      </c>
    </row>
    <row r="34" spans="1:9" ht="15" thickBot="1" x14ac:dyDescent="0.25">
      <c r="A34" s="27" t="s">
        <v>91</v>
      </c>
      <c r="B34" s="216">
        <f>'Reference emissions EII'!B6</f>
        <v>0</v>
      </c>
      <c r="C34" s="216">
        <f>'Project emissions EII'!B6</f>
        <v>0</v>
      </c>
      <c r="D34" s="216">
        <f>B34-C34</f>
        <v>0</v>
      </c>
    </row>
    <row r="35" spans="1:9" ht="15" thickBot="1" x14ac:dyDescent="0.25">
      <c r="A35" s="27" t="s">
        <v>92</v>
      </c>
      <c r="B35" s="216">
        <f>'Reference emissions EII'!B7</f>
        <v>0</v>
      </c>
      <c r="C35" s="216">
        <f>'Project emissions EII'!B7</f>
        <v>0</v>
      </c>
      <c r="D35" s="216">
        <f t="shared" ref="D35:D40" si="0">B35-C35</f>
        <v>0</v>
      </c>
    </row>
    <row r="36" spans="1:9" ht="15" thickBot="1" x14ac:dyDescent="0.25">
      <c r="A36" s="27" t="s">
        <v>94</v>
      </c>
      <c r="B36" s="217"/>
      <c r="C36" s="216">
        <f>'Project emissions EII'!B8</f>
        <v>0</v>
      </c>
      <c r="D36" s="216">
        <f t="shared" si="0"/>
        <v>0</v>
      </c>
    </row>
    <row r="37" spans="1:9" ht="15" thickBot="1" x14ac:dyDescent="0.25">
      <c r="A37" s="27" t="s">
        <v>95</v>
      </c>
      <c r="B37" s="216">
        <f>'Reference emissions EII'!B8</f>
        <v>0</v>
      </c>
      <c r="C37" s="216">
        <f>'Project emissions EII'!B9</f>
        <v>0</v>
      </c>
      <c r="D37" s="216">
        <f t="shared" si="0"/>
        <v>0</v>
      </c>
    </row>
    <row r="38" spans="1:9" ht="15" thickBot="1" x14ac:dyDescent="0.25">
      <c r="A38" s="27" t="s">
        <v>653</v>
      </c>
      <c r="B38" s="224">
        <f>+ SUM(B34:B37)</f>
        <v>0</v>
      </c>
      <c r="C38" s="224">
        <f>+ SUM(C34:C37)</f>
        <v>0</v>
      </c>
      <c r="D38" s="224">
        <f t="shared" si="0"/>
        <v>0</v>
      </c>
    </row>
    <row r="39" spans="1:9" ht="15" thickBot="1" x14ac:dyDescent="0.25">
      <c r="A39" s="27" t="s">
        <v>597</v>
      </c>
      <c r="B39" s="217"/>
      <c r="C39" s="224">
        <f xml:space="preserve"> - G20</f>
        <v>0</v>
      </c>
      <c r="D39" s="224">
        <f t="shared" si="0"/>
        <v>0</v>
      </c>
    </row>
    <row r="40" spans="1:9" ht="15.75" thickBot="1" x14ac:dyDescent="0.25">
      <c r="A40" s="135" t="s">
        <v>96</v>
      </c>
      <c r="B40" s="218">
        <f>+ SUM(B38:B39)</f>
        <v>0</v>
      </c>
      <c r="C40" s="218">
        <f>+ SUM(C38:C39)</f>
        <v>0</v>
      </c>
      <c r="D40" s="218">
        <f t="shared" si="0"/>
        <v>0</v>
      </c>
    </row>
    <row r="41" spans="1:9" x14ac:dyDescent="0.2">
      <c r="A41" s="196"/>
    </row>
    <row r="42" spans="1:9" ht="15" x14ac:dyDescent="0.2">
      <c r="A42" s="193" t="s">
        <v>645</v>
      </c>
      <c r="B42" s="33"/>
      <c r="C42" s="11"/>
      <c r="D42" s="11"/>
      <c r="E42" s="11"/>
      <c r="F42" s="11"/>
      <c r="G42" s="11"/>
    </row>
    <row r="43" spans="1:9" ht="15" thickBot="1" x14ac:dyDescent="0.25">
      <c r="A43" s="1"/>
      <c r="B43" s="34"/>
    </row>
    <row r="44" spans="1:9" ht="15" thickBot="1" x14ac:dyDescent="0.25">
      <c r="A44" s="40" t="s">
        <v>545</v>
      </c>
      <c r="B44" s="40" t="s">
        <v>97</v>
      </c>
      <c r="C44" s="219" t="s">
        <v>633</v>
      </c>
      <c r="D44" s="215" t="s">
        <v>634</v>
      </c>
      <c r="E44" s="35" t="s">
        <v>99</v>
      </c>
      <c r="F44" s="40" t="s">
        <v>77</v>
      </c>
      <c r="G44" s="132"/>
      <c r="H44" s="132"/>
    </row>
    <row r="45" spans="1:9" s="122" customFormat="1" ht="51.75" thickBot="1" x14ac:dyDescent="0.3">
      <c r="A45" s="276" t="s">
        <v>641</v>
      </c>
      <c r="B45" s="130" t="s">
        <v>626</v>
      </c>
      <c r="C45" s="220">
        <f>+ 'Reference emissions EII'!Q17</f>
        <v>0</v>
      </c>
      <c r="D45" s="220">
        <f>+'Project emissions EII'!Q17</f>
        <v>0</v>
      </c>
      <c r="E45" s="190" t="str">
        <f>IF('Project emissions EII'!F17="","Unit for quantity of principal product [Please state unit of production quantity on sheet 'Project emissions EII']",'Project emissions EII'!F17)</f>
        <v>[Please specify]</v>
      </c>
      <c r="F45" s="191" t="s">
        <v>638</v>
      </c>
      <c r="G45" s="133"/>
      <c r="H45" s="133"/>
      <c r="I45" s="89"/>
    </row>
    <row r="46" spans="1:9" s="122" customFormat="1" ht="51.75" thickBot="1" x14ac:dyDescent="0.3">
      <c r="A46" s="277"/>
      <c r="B46" s="131" t="s">
        <v>631</v>
      </c>
      <c r="C46" s="220">
        <f>+ 'Reference emissions EII'!Q18</f>
        <v>0</v>
      </c>
      <c r="D46" s="220">
        <f>+'Project emissions EII'!Q18</f>
        <v>0</v>
      </c>
      <c r="E46" s="190" t="str">
        <f>IF('Project emissions EII'!F18="","Unit for quantity of principal product [Please state unit of production quantity on sheet 'Project emissions EII']",'Project emissions EII'!F18)</f>
        <v>[Please specify]</v>
      </c>
      <c r="F46" s="191" t="s">
        <v>638</v>
      </c>
      <c r="G46" s="133"/>
      <c r="H46" s="133"/>
      <c r="I46" s="89"/>
    </row>
    <row r="47" spans="1:9" s="122" customFormat="1" ht="51.75" thickBot="1" x14ac:dyDescent="0.3">
      <c r="A47" s="278"/>
      <c r="B47" s="131" t="s">
        <v>632</v>
      </c>
      <c r="C47" s="220">
        <f>+ 'Reference emissions EII'!Q19</f>
        <v>0</v>
      </c>
      <c r="D47" s="220">
        <f>+'Project emissions EII'!Q19</f>
        <v>0</v>
      </c>
      <c r="E47" s="190" t="str">
        <f>IF('Project emissions EII'!F19="","Unit for quantity of principal product [Please state unit of production quantity on sheet 'Project emissions EII']",'Project emissions EII'!F19)</f>
        <v>[Please specify]</v>
      </c>
      <c r="F47" s="191" t="s">
        <v>638</v>
      </c>
      <c r="G47" s="133"/>
      <c r="H47" s="133"/>
    </row>
    <row r="48" spans="1:9" s="122" customFormat="1" ht="35.25" customHeight="1" thickBot="1" x14ac:dyDescent="0.3">
      <c r="A48" s="276" t="s">
        <v>648</v>
      </c>
      <c r="B48" s="130" t="s">
        <v>626</v>
      </c>
      <c r="C48" s="203">
        <f xml:space="preserve"> IF(C45=0,0,B35/C45)</f>
        <v>0</v>
      </c>
      <c r="D48" s="203">
        <f xml:space="preserve"> IF(D45=0,0,SUM(C35,C39)/D45)</f>
        <v>0</v>
      </c>
      <c r="E48" s="190" t="s">
        <v>635</v>
      </c>
      <c r="F48" s="279" t="s">
        <v>672</v>
      </c>
      <c r="G48" s="133"/>
      <c r="H48" s="133"/>
      <c r="I48" s="89"/>
    </row>
    <row r="49" spans="1:10" s="122" customFormat="1" ht="35.25" customHeight="1" thickBot="1" x14ac:dyDescent="0.3">
      <c r="A49" s="277"/>
      <c r="B49" s="131" t="s">
        <v>631</v>
      </c>
      <c r="C49" s="203" t="s">
        <v>102</v>
      </c>
      <c r="D49" s="203"/>
      <c r="E49" s="192" t="s">
        <v>636</v>
      </c>
      <c r="F49" s="280"/>
      <c r="G49" s="133"/>
      <c r="H49" s="133"/>
      <c r="I49" s="89"/>
    </row>
    <row r="50" spans="1:10" s="122" customFormat="1" ht="35.25" customHeight="1" thickBot="1" x14ac:dyDescent="0.3">
      <c r="A50" s="278"/>
      <c r="B50" s="131" t="s">
        <v>632</v>
      </c>
      <c r="C50" s="203" t="s">
        <v>102</v>
      </c>
      <c r="D50" s="203"/>
      <c r="E50" s="192" t="s">
        <v>637</v>
      </c>
      <c r="F50" s="281"/>
      <c r="G50" s="133"/>
      <c r="H50" s="133"/>
    </row>
    <row r="51" spans="1:10" s="122" customFormat="1" ht="35.25" customHeight="1" thickBot="1" x14ac:dyDescent="0.3">
      <c r="A51" s="276" t="s">
        <v>642</v>
      </c>
      <c r="B51" s="131" t="s">
        <v>626</v>
      </c>
      <c r="C51" s="203">
        <f xml:space="preserve"> IF(C45=0,0,B40/C45)</f>
        <v>0</v>
      </c>
      <c r="D51" s="203">
        <f xml:space="preserve"> IF(D45=0,0,C40/D45)</f>
        <v>0</v>
      </c>
      <c r="E51" s="190" t="s">
        <v>635</v>
      </c>
      <c r="F51" s="279" t="s">
        <v>684</v>
      </c>
      <c r="G51" s="133"/>
      <c r="H51" s="133"/>
    </row>
    <row r="52" spans="1:10" s="122" customFormat="1" ht="35.25" customHeight="1" thickBot="1" x14ac:dyDescent="0.3">
      <c r="A52" s="277"/>
      <c r="B52" s="131" t="s">
        <v>631</v>
      </c>
      <c r="C52" s="203" t="s">
        <v>102</v>
      </c>
      <c r="D52" s="203"/>
      <c r="E52" s="192" t="s">
        <v>636</v>
      </c>
      <c r="F52" s="280"/>
      <c r="G52" s="133"/>
      <c r="H52" s="133"/>
    </row>
    <row r="53" spans="1:10" s="122" customFormat="1" ht="35.25" customHeight="1" thickBot="1" x14ac:dyDescent="0.3">
      <c r="A53" s="278"/>
      <c r="B53" s="131" t="s">
        <v>632</v>
      </c>
      <c r="C53" s="203" t="s">
        <v>102</v>
      </c>
      <c r="D53" s="203"/>
      <c r="E53" s="192" t="s">
        <v>637</v>
      </c>
      <c r="F53" s="281"/>
      <c r="G53" s="133"/>
      <c r="H53" s="133"/>
    </row>
    <row r="62" spans="1:10" ht="15" x14ac:dyDescent="0.25">
      <c r="I62" s="28"/>
      <c r="J62" s="28"/>
    </row>
    <row r="63" spans="1:10" ht="15" x14ac:dyDescent="0.25">
      <c r="I63" s="28"/>
      <c r="J63" s="28"/>
    </row>
    <row r="64" spans="1:10" ht="15" x14ac:dyDescent="0.25">
      <c r="I64" s="28"/>
      <c r="J64" s="28"/>
    </row>
    <row r="65" spans="9:10" ht="15" x14ac:dyDescent="0.25">
      <c r="I65" s="28"/>
      <c r="J65" s="28"/>
    </row>
    <row r="66" spans="9:10" ht="15" x14ac:dyDescent="0.25">
      <c r="I66" s="28"/>
      <c r="J66" s="28"/>
    </row>
    <row r="67" spans="9:10" ht="15" x14ac:dyDescent="0.25">
      <c r="I67" s="28"/>
      <c r="J67" s="28"/>
    </row>
    <row r="68" spans="9:10" ht="15" x14ac:dyDescent="0.25">
      <c r="I68" s="28"/>
      <c r="J68" s="28"/>
    </row>
    <row r="69" spans="9:10" ht="15" x14ac:dyDescent="0.25">
      <c r="I69" s="28"/>
      <c r="J69" s="28"/>
    </row>
    <row r="70" spans="9:10" ht="15" x14ac:dyDescent="0.25">
      <c r="I70" s="28"/>
      <c r="J70" s="28"/>
    </row>
  </sheetData>
  <sheetProtection algorithmName="SHA-512" hashValue="YfLG0zjdNU/RvyLhx6H2cGkIFDZjFb16wuKxLfqrnqHav0tLp3E/g3D8ACNML7RDcLBxOfqEInFtdwuH//n3Kg==" saltValue="uqyXacW1/Y8uB1qZJOzErw==" spinCount="100000" sheet="1" formatCells="0" formatColumns="0" formatRows="0"/>
  <mergeCells count="5">
    <mergeCell ref="A48:A50"/>
    <mergeCell ref="A51:A53"/>
    <mergeCell ref="A45:A47"/>
    <mergeCell ref="F48:F50"/>
    <mergeCell ref="F51:F53"/>
  </mergeCells>
  <conditionalFormatting sqref="E4 E11">
    <cfRule type="cellIs" dxfId="21" priority="16" operator="equal">
      <formula>"ERR"</formula>
    </cfRule>
    <cfRule type="cellIs" dxfId="20" priority="17" operator="equal">
      <formula>"OK"</formula>
    </cfRule>
  </conditionalFormatting>
  <conditionalFormatting sqref="E6">
    <cfRule type="cellIs" dxfId="19" priority="20" operator="equal">
      <formula>"ERR"</formula>
    </cfRule>
    <cfRule type="cellIs" dxfId="18" priority="21" operator="equal">
      <formula>"OK"</formula>
    </cfRule>
  </conditionalFormatting>
  <conditionalFormatting sqref="G27">
    <cfRule type="containsText" dxfId="17" priority="1" operator="containsText" text="OK">
      <formula>NOT(ISERROR(SEARCH("OK",G27)))</formula>
    </cfRule>
    <cfRule type="containsText" dxfId="16" priority="2" operator="containsText" text="NEGATIVE">
      <formula>NOT(ISERROR(SEARCH("NEGATIVE",G27)))</formula>
    </cfRule>
  </conditionalFormatting>
  <dataValidations count="1">
    <dataValidation type="list" allowBlank="1" showInputMessage="1" showErrorMessage="1" sqref="B11" xr:uid="{DC348806-88FC-45DF-9030-CFA950C30F16}">
      <formula1>"Yes, No"</formula1>
    </dataValidation>
  </dataValidations>
  <pageMargins left="0.7" right="0.7" top="0.75" bottom="0.75" header="0.3" footer="0.3"/>
  <pageSetup orientation="portrait" horizontalDpi="300" verticalDpi="300" r:id="rId1"/>
  <ignoredErrors>
    <ignoredError sqref="C45:D47 C49:D50 C48:D48 C51:D51" unlockedFormula="1"/>
  </ignoredErrors>
  <extLst>
    <ext xmlns:x14="http://schemas.microsoft.com/office/spreadsheetml/2009/9/main" uri="{CCE6A557-97BC-4b89-ADB6-D9C93CAAB3DF}">
      <x14:dataValidations xmlns:xm="http://schemas.microsoft.com/office/excel/2006/main" count="2">
        <x14:dataValidation type="list" allowBlank="1" showInputMessage="1" showErrorMessage="1" xr:uid="{CF1EE774-9E03-4A89-BD80-485F1F70B819}">
          <x14:formula1>
            <xm:f>_xlfn.ANCHORARRAY(Lists!B3)</xm:f>
          </x14:formula1>
          <xm:sqref>B6</xm:sqref>
        </x14:dataValidation>
        <x14:dataValidation type="list" allowBlank="1" showInputMessage="1" showErrorMessage="1" xr:uid="{00000000-0002-0000-0100-000001000000}">
          <x14:formula1>
            <xm:f>_xlfn.ANCHORARRAY(Lists!C3)</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30"/>
  <sheetViews>
    <sheetView zoomScaleNormal="100" workbookViewId="0"/>
  </sheetViews>
  <sheetFormatPr defaultColWidth="9.140625" defaultRowHeight="14.25" x14ac:dyDescent="0.2"/>
  <cols>
    <col min="1" max="1" width="36.5703125" style="3" customWidth="1"/>
    <col min="2" max="12" width="16.28515625" style="3" customWidth="1"/>
    <col min="13" max="13" width="42" style="3" customWidth="1"/>
    <col min="14" max="14" width="12" style="37" customWidth="1"/>
    <col min="15" max="15" width="9.140625" style="3"/>
    <col min="16" max="16" width="17.5703125" style="3" bestFit="1" customWidth="1"/>
    <col min="17" max="16384" width="9.140625" style="3"/>
  </cols>
  <sheetData>
    <row r="1" spans="1:16" ht="15" x14ac:dyDescent="0.2">
      <c r="A1" s="166" t="s">
        <v>12</v>
      </c>
      <c r="B1" s="11"/>
      <c r="C1" s="11"/>
      <c r="D1" s="11"/>
      <c r="E1" s="11"/>
      <c r="F1" s="11"/>
      <c r="G1" s="11"/>
      <c r="H1" s="11"/>
      <c r="I1" s="11"/>
      <c r="J1" s="11"/>
      <c r="K1" s="11"/>
      <c r="L1" s="11"/>
      <c r="M1" s="11"/>
      <c r="N1" s="140"/>
    </row>
    <row r="2" spans="1:16" x14ac:dyDescent="0.2">
      <c r="A2" s="45" t="s">
        <v>546</v>
      </c>
    </row>
    <row r="3" spans="1:16" x14ac:dyDescent="0.2">
      <c r="A3" s="45" t="s">
        <v>103</v>
      </c>
    </row>
    <row r="4" spans="1:16" x14ac:dyDescent="0.2">
      <c r="A4" s="45"/>
    </row>
    <row r="5" spans="1:16" x14ac:dyDescent="0.2">
      <c r="A5" s="45" t="s">
        <v>518</v>
      </c>
    </row>
    <row r="6" spans="1:16" x14ac:dyDescent="0.2">
      <c r="A6" s="45" t="s">
        <v>547</v>
      </c>
    </row>
    <row r="8" spans="1:16" x14ac:dyDescent="0.2">
      <c r="A8" s="167" t="s">
        <v>600</v>
      </c>
    </row>
    <row r="9" spans="1:16" x14ac:dyDescent="0.2">
      <c r="A9" s="167" t="s">
        <v>601</v>
      </c>
    </row>
    <row r="10" spans="1:16" ht="15" thickBot="1" x14ac:dyDescent="0.25"/>
    <row r="11" spans="1:16" ht="15.75" thickBot="1" x14ac:dyDescent="0.25">
      <c r="A11" s="108" t="s">
        <v>13</v>
      </c>
      <c r="B11" s="13" t="s">
        <v>104</v>
      </c>
      <c r="C11" s="13" t="s">
        <v>105</v>
      </c>
      <c r="D11" s="13" t="s">
        <v>106</v>
      </c>
      <c r="E11" s="13" t="s">
        <v>107</v>
      </c>
      <c r="F11" s="13" t="s">
        <v>108</v>
      </c>
      <c r="G11" s="13" t="s">
        <v>109</v>
      </c>
      <c r="H11" s="13" t="s">
        <v>110</v>
      </c>
      <c r="I11" s="13" t="s">
        <v>111</v>
      </c>
      <c r="J11" s="13" t="s">
        <v>112</v>
      </c>
      <c r="K11" s="13" t="s">
        <v>113</v>
      </c>
      <c r="L11" s="13" t="s">
        <v>114</v>
      </c>
      <c r="M11" s="13" t="s">
        <v>576</v>
      </c>
    </row>
    <row r="12" spans="1:16" ht="19.5" thickBot="1" x14ac:dyDescent="0.25">
      <c r="A12" s="53" t="s">
        <v>551</v>
      </c>
      <c r="B12" s="202">
        <f xml:space="preserve"> SUM(C12:L12)</f>
        <v>0</v>
      </c>
      <c r="C12" s="202">
        <f xml:space="preserve"> 'Reference emissions EII'!T21</f>
        <v>0</v>
      </c>
      <c r="D12" s="202">
        <f xml:space="preserve"> 'Reference emissions EII'!U21</f>
        <v>0</v>
      </c>
      <c r="E12" s="202">
        <f xml:space="preserve"> 'Reference emissions EII'!V21</f>
        <v>0</v>
      </c>
      <c r="F12" s="202">
        <f xml:space="preserve"> 'Reference emissions EII'!W21</f>
        <v>0</v>
      </c>
      <c r="G12" s="202">
        <f xml:space="preserve"> 'Reference emissions EII'!X21</f>
        <v>0</v>
      </c>
      <c r="H12" s="202">
        <f xml:space="preserve"> 'Reference emissions EII'!Y21</f>
        <v>0</v>
      </c>
      <c r="I12" s="202">
        <f xml:space="preserve"> 'Reference emissions EII'!Z21</f>
        <v>0</v>
      </c>
      <c r="J12" s="202">
        <f xml:space="preserve"> 'Reference emissions EII'!AA21</f>
        <v>0</v>
      </c>
      <c r="K12" s="202">
        <f xml:space="preserve"> 'Reference emissions EII'!AB21</f>
        <v>0</v>
      </c>
      <c r="L12" s="202">
        <f xml:space="preserve"> 'Reference emissions EII'!AC21</f>
        <v>0</v>
      </c>
      <c r="M12" s="141"/>
      <c r="N12" s="162"/>
      <c r="P12" s="137"/>
    </row>
    <row r="13" spans="1:16" ht="19.5" thickBot="1" x14ac:dyDescent="0.25">
      <c r="A13" s="53" t="s">
        <v>552</v>
      </c>
      <c r="B13" s="202">
        <f t="shared" ref="B13:B15" si="0" xml:space="preserve"> SUM(C13:L13)</f>
        <v>0</v>
      </c>
      <c r="C13" s="203"/>
      <c r="D13" s="203"/>
      <c r="E13" s="203"/>
      <c r="F13" s="203"/>
      <c r="G13" s="203"/>
      <c r="H13" s="203"/>
      <c r="I13" s="203"/>
      <c r="J13" s="203"/>
      <c r="K13" s="203"/>
      <c r="L13" s="203"/>
      <c r="M13" s="141"/>
    </row>
    <row r="14" spans="1:16" ht="19.5" thickBot="1" x14ac:dyDescent="0.25">
      <c r="A14" s="53" t="s">
        <v>553</v>
      </c>
      <c r="B14" s="202">
        <f t="shared" si="0"/>
        <v>0</v>
      </c>
      <c r="C14" s="203"/>
      <c r="D14" s="203"/>
      <c r="E14" s="203"/>
      <c r="F14" s="203"/>
      <c r="G14" s="203"/>
      <c r="H14" s="203"/>
      <c r="I14" s="203"/>
      <c r="J14" s="203"/>
      <c r="K14" s="203"/>
      <c r="L14" s="203"/>
      <c r="M14" s="141"/>
    </row>
    <row r="15" spans="1:16" ht="19.5" thickBot="1" x14ac:dyDescent="0.25">
      <c r="A15" s="53" t="s">
        <v>554</v>
      </c>
      <c r="B15" s="202">
        <f t="shared" si="0"/>
        <v>0</v>
      </c>
      <c r="C15" s="203"/>
      <c r="D15" s="203"/>
      <c r="E15" s="203"/>
      <c r="F15" s="203"/>
      <c r="G15" s="203"/>
      <c r="H15" s="203"/>
      <c r="I15" s="203"/>
      <c r="J15" s="203"/>
      <c r="K15" s="203"/>
      <c r="L15" s="203"/>
      <c r="M15" s="141"/>
    </row>
    <row r="16" spans="1:16" ht="24.75" thickBot="1" x14ac:dyDescent="0.25">
      <c r="A16" s="53" t="s">
        <v>515</v>
      </c>
      <c r="B16" s="202">
        <f t="shared" ref="B16" si="1" xml:space="preserve"> SUM(C16:L16)</f>
        <v>0</v>
      </c>
      <c r="C16" s="202">
        <f t="shared" ref="C16:L16" si="2">+ SUM(C12:C15)</f>
        <v>0</v>
      </c>
      <c r="D16" s="202">
        <f t="shared" si="2"/>
        <v>0</v>
      </c>
      <c r="E16" s="202">
        <f t="shared" si="2"/>
        <v>0</v>
      </c>
      <c r="F16" s="202">
        <f t="shared" si="2"/>
        <v>0</v>
      </c>
      <c r="G16" s="202">
        <f t="shared" si="2"/>
        <v>0</v>
      </c>
      <c r="H16" s="202">
        <f t="shared" si="2"/>
        <v>0</v>
      </c>
      <c r="I16" s="202">
        <f t="shared" si="2"/>
        <v>0</v>
      </c>
      <c r="J16" s="202">
        <f t="shared" si="2"/>
        <v>0</v>
      </c>
      <c r="K16" s="202">
        <f t="shared" si="2"/>
        <v>0</v>
      </c>
      <c r="L16" s="202">
        <f t="shared" si="2"/>
        <v>0</v>
      </c>
      <c r="M16" s="165" t="s">
        <v>549</v>
      </c>
      <c r="N16" s="114" t="str">
        <f>+ IF(ROUND(B16,2)=ROUND(SUM(B12:B15),2),"OK","ERR")</f>
        <v>OK</v>
      </c>
      <c r="P16" s="122"/>
    </row>
    <row r="17" spans="1:16" ht="15" thickBot="1" x14ac:dyDescent="0.25">
      <c r="B17" s="200"/>
      <c r="C17" s="200"/>
      <c r="D17" s="200"/>
      <c r="E17" s="200"/>
      <c r="F17" s="200"/>
      <c r="G17" s="200"/>
      <c r="H17" s="200"/>
      <c r="I17" s="200"/>
      <c r="J17" s="200"/>
      <c r="K17" s="200"/>
      <c r="L17" s="200"/>
      <c r="N17" s="3"/>
    </row>
    <row r="18" spans="1:16" ht="15.75" thickBot="1" x14ac:dyDescent="0.25">
      <c r="A18" s="108" t="s">
        <v>14</v>
      </c>
      <c r="B18" s="201" t="s">
        <v>104</v>
      </c>
      <c r="C18" s="201" t="s">
        <v>105</v>
      </c>
      <c r="D18" s="201" t="s">
        <v>106</v>
      </c>
      <c r="E18" s="201" t="s">
        <v>107</v>
      </c>
      <c r="F18" s="201" t="s">
        <v>108</v>
      </c>
      <c r="G18" s="201" t="s">
        <v>109</v>
      </c>
      <c r="H18" s="201" t="s">
        <v>110</v>
      </c>
      <c r="I18" s="201" t="s">
        <v>111</v>
      </c>
      <c r="J18" s="201" t="s">
        <v>112</v>
      </c>
      <c r="K18" s="201" t="s">
        <v>113</v>
      </c>
      <c r="L18" s="201" t="s">
        <v>114</v>
      </c>
      <c r="M18" s="13" t="s">
        <v>576</v>
      </c>
    </row>
    <row r="19" spans="1:16" ht="19.5" thickBot="1" x14ac:dyDescent="0.25">
      <c r="A19" s="53" t="s">
        <v>555</v>
      </c>
      <c r="B19" s="202">
        <f xml:space="preserve"> SUM(C19:L19)</f>
        <v>0</v>
      </c>
      <c r="C19" s="202">
        <f>'Project emissions EII'!T21</f>
        <v>0</v>
      </c>
      <c r="D19" s="202">
        <f>'Project emissions EII'!U21</f>
        <v>0</v>
      </c>
      <c r="E19" s="202">
        <f>'Project emissions EII'!V21</f>
        <v>0</v>
      </c>
      <c r="F19" s="202">
        <f>'Project emissions EII'!W21</f>
        <v>0</v>
      </c>
      <c r="G19" s="202">
        <f>'Project emissions EII'!X21</f>
        <v>0</v>
      </c>
      <c r="H19" s="202">
        <f>'Project emissions EII'!Y21</f>
        <v>0</v>
      </c>
      <c r="I19" s="202">
        <f>'Project emissions EII'!Z21</f>
        <v>0</v>
      </c>
      <c r="J19" s="202">
        <f>'Project emissions EII'!AA21</f>
        <v>0</v>
      </c>
      <c r="K19" s="202">
        <f>'Project emissions EII'!AB21</f>
        <v>0</v>
      </c>
      <c r="L19" s="202">
        <f>'Project emissions EII'!AC21</f>
        <v>0</v>
      </c>
      <c r="M19" s="141"/>
    </row>
    <row r="20" spans="1:16" ht="19.5" thickBot="1" x14ac:dyDescent="0.25">
      <c r="A20" s="53" t="s">
        <v>556</v>
      </c>
      <c r="B20" s="202">
        <f t="shared" ref="B20:B23" si="3" xml:space="preserve"> SUM(C20:L20)</f>
        <v>0</v>
      </c>
      <c r="C20" s="203"/>
      <c r="D20" s="203"/>
      <c r="E20" s="203"/>
      <c r="F20" s="203"/>
      <c r="G20" s="203"/>
      <c r="H20" s="203"/>
      <c r="I20" s="203"/>
      <c r="J20" s="203"/>
      <c r="K20" s="203"/>
      <c r="L20" s="203"/>
      <c r="M20" s="141"/>
    </row>
    <row r="21" spans="1:16" ht="19.5" thickBot="1" x14ac:dyDescent="0.25">
      <c r="A21" s="53" t="s">
        <v>557</v>
      </c>
      <c r="B21" s="202">
        <f t="shared" si="3"/>
        <v>0</v>
      </c>
      <c r="C21" s="203"/>
      <c r="D21" s="203"/>
      <c r="E21" s="203"/>
      <c r="F21" s="203"/>
      <c r="G21" s="203"/>
      <c r="H21" s="203"/>
      <c r="I21" s="203"/>
      <c r="J21" s="203"/>
      <c r="K21" s="203"/>
      <c r="L21" s="203"/>
      <c r="M21" s="141"/>
    </row>
    <row r="22" spans="1:16" ht="19.5" thickBot="1" x14ac:dyDescent="0.25">
      <c r="A22" s="53" t="s">
        <v>558</v>
      </c>
      <c r="B22" s="202">
        <f t="shared" si="3"/>
        <v>0</v>
      </c>
      <c r="C22" s="203"/>
      <c r="D22" s="203"/>
      <c r="E22" s="203"/>
      <c r="F22" s="203"/>
      <c r="G22" s="203"/>
      <c r="H22" s="203"/>
      <c r="I22" s="203"/>
      <c r="J22" s="203"/>
      <c r="K22" s="203"/>
      <c r="L22" s="203"/>
      <c r="M22" s="141"/>
    </row>
    <row r="23" spans="1:16" ht="24.75" thickBot="1" x14ac:dyDescent="0.25">
      <c r="A23" s="53" t="s">
        <v>516</v>
      </c>
      <c r="B23" s="202">
        <f t="shared" si="3"/>
        <v>0</v>
      </c>
      <c r="C23" s="202">
        <f t="shared" ref="C23:L23" si="4">+ SUM(C19:C22)</f>
        <v>0</v>
      </c>
      <c r="D23" s="202">
        <f t="shared" si="4"/>
        <v>0</v>
      </c>
      <c r="E23" s="202">
        <f t="shared" si="4"/>
        <v>0</v>
      </c>
      <c r="F23" s="202">
        <f t="shared" si="4"/>
        <v>0</v>
      </c>
      <c r="G23" s="202">
        <f t="shared" si="4"/>
        <v>0</v>
      </c>
      <c r="H23" s="202">
        <f t="shared" si="4"/>
        <v>0</v>
      </c>
      <c r="I23" s="202">
        <f t="shared" si="4"/>
        <v>0</v>
      </c>
      <c r="J23" s="202">
        <f t="shared" si="4"/>
        <v>0</v>
      </c>
      <c r="K23" s="202">
        <f t="shared" si="4"/>
        <v>0</v>
      </c>
      <c r="L23" s="202">
        <f t="shared" si="4"/>
        <v>0</v>
      </c>
      <c r="M23" s="165" t="s">
        <v>549</v>
      </c>
      <c r="N23" s="114" t="str">
        <f>+ IF(ROUND(B23,2)=ROUND(SUM(B19:B22),2),"OK","ERR")</f>
        <v>OK</v>
      </c>
      <c r="P23" s="122"/>
    </row>
    <row r="24" spans="1:16" ht="15" thickBot="1" x14ac:dyDescent="0.25">
      <c r="B24" s="200"/>
      <c r="C24" s="200"/>
      <c r="D24" s="200"/>
      <c r="E24" s="200"/>
      <c r="F24" s="200"/>
      <c r="G24" s="200"/>
      <c r="H24" s="200"/>
      <c r="I24" s="200"/>
      <c r="J24" s="200"/>
      <c r="K24" s="200"/>
      <c r="L24" s="200"/>
    </row>
    <row r="25" spans="1:16" ht="19.5" thickBot="1" x14ac:dyDescent="0.25">
      <c r="A25" s="53" t="s">
        <v>608</v>
      </c>
      <c r="B25" s="202">
        <f xml:space="preserve"> SUM(C25:L25)</f>
        <v>0</v>
      </c>
      <c r="C25" s="202">
        <f>+ 'CC credit calculation'!R21</f>
        <v>0</v>
      </c>
      <c r="D25" s="202">
        <f>+ 'CC credit calculation'!S21</f>
        <v>0</v>
      </c>
      <c r="E25" s="202">
        <f>+ 'CC credit calculation'!T21</f>
        <v>0</v>
      </c>
      <c r="F25" s="202">
        <f>+ 'CC credit calculation'!U21</f>
        <v>0</v>
      </c>
      <c r="G25" s="202">
        <f>+ 'CC credit calculation'!V21</f>
        <v>0</v>
      </c>
      <c r="H25" s="202">
        <f>+ 'CC credit calculation'!W21</f>
        <v>0</v>
      </c>
      <c r="I25" s="202">
        <f>+ 'CC credit calculation'!X21</f>
        <v>0</v>
      </c>
      <c r="J25" s="202">
        <f>+ 'CC credit calculation'!Y21</f>
        <v>0</v>
      </c>
      <c r="K25" s="202">
        <f>+ 'CC credit calculation'!Z21</f>
        <v>0</v>
      </c>
      <c r="L25" s="202">
        <f>+ 'CC credit calculation'!AA21</f>
        <v>0</v>
      </c>
      <c r="N25" s="113"/>
    </row>
    <row r="26" spans="1:16" x14ac:dyDescent="0.2">
      <c r="A26" s="136" t="s">
        <v>643</v>
      </c>
      <c r="B26" s="200"/>
      <c r="C26" s="200"/>
      <c r="D26" s="200"/>
      <c r="E26" s="200"/>
      <c r="F26" s="200"/>
      <c r="G26" s="200"/>
      <c r="H26" s="200"/>
      <c r="I26" s="200"/>
      <c r="J26" s="200"/>
      <c r="K26" s="200"/>
      <c r="L26" s="200"/>
    </row>
    <row r="27" spans="1:16" ht="15" thickBot="1" x14ac:dyDescent="0.25">
      <c r="B27" s="200"/>
      <c r="C27" s="200"/>
      <c r="D27" s="200"/>
      <c r="E27" s="200"/>
      <c r="F27" s="200"/>
      <c r="G27" s="200"/>
      <c r="H27" s="200"/>
      <c r="I27" s="200"/>
      <c r="J27" s="200"/>
      <c r="K27" s="200"/>
      <c r="L27" s="200"/>
    </row>
    <row r="28" spans="1:16" ht="15.75" thickBot="1" x14ac:dyDescent="0.25">
      <c r="A28" s="108" t="s">
        <v>517</v>
      </c>
      <c r="B28" s="201" t="s">
        <v>104</v>
      </c>
      <c r="C28" s="201" t="s">
        <v>105</v>
      </c>
      <c r="D28" s="201" t="s">
        <v>106</v>
      </c>
      <c r="E28" s="201" t="s">
        <v>107</v>
      </c>
      <c r="F28" s="201" t="s">
        <v>108</v>
      </c>
      <c r="G28" s="201" t="s">
        <v>109</v>
      </c>
      <c r="H28" s="201" t="s">
        <v>110</v>
      </c>
      <c r="I28" s="201" t="s">
        <v>111</v>
      </c>
      <c r="J28" s="201" t="s">
        <v>112</v>
      </c>
      <c r="K28" s="201" t="s">
        <v>113</v>
      </c>
      <c r="L28" s="201" t="s">
        <v>114</v>
      </c>
      <c r="M28" s="13" t="s">
        <v>576</v>
      </c>
      <c r="N28" s="113"/>
    </row>
    <row r="29" spans="1:16" ht="24.75" thickBot="1" x14ac:dyDescent="0.25">
      <c r="A29" s="53" t="s">
        <v>82</v>
      </c>
      <c r="B29" s="202">
        <f t="shared" ref="B29" si="5" xml:space="preserve"> SUM(C29:L29)</f>
        <v>0</v>
      </c>
      <c r="C29" s="202">
        <f t="shared" ref="C29:L29" si="6">+ C16 - C23 + C25</f>
        <v>0</v>
      </c>
      <c r="D29" s="202">
        <f t="shared" si="6"/>
        <v>0</v>
      </c>
      <c r="E29" s="202">
        <f t="shared" si="6"/>
        <v>0</v>
      </c>
      <c r="F29" s="202">
        <f t="shared" si="6"/>
        <v>0</v>
      </c>
      <c r="G29" s="202">
        <f t="shared" si="6"/>
        <v>0</v>
      </c>
      <c r="H29" s="202">
        <f t="shared" si="6"/>
        <v>0</v>
      </c>
      <c r="I29" s="202">
        <f t="shared" si="6"/>
        <v>0</v>
      </c>
      <c r="J29" s="202">
        <f t="shared" si="6"/>
        <v>0</v>
      </c>
      <c r="K29" s="202">
        <f t="shared" si="6"/>
        <v>0</v>
      </c>
      <c r="L29" s="202">
        <f t="shared" si="6"/>
        <v>0</v>
      </c>
      <c r="M29" s="165" t="s">
        <v>550</v>
      </c>
      <c r="N29" s="114" t="str">
        <f>+ IF(ROUND(B29,2)=ROUND(Summary!A20,2),"OK","ERR")</f>
        <v>OK</v>
      </c>
      <c r="P29" s="122"/>
    </row>
    <row r="30" spans="1:16" ht="24.75" thickBot="1" x14ac:dyDescent="0.25">
      <c r="A30" s="53" t="s">
        <v>88</v>
      </c>
      <c r="B30" s="115">
        <f xml:space="preserve"> IF(B29&lt;=0,0, IF(B16&lt;=0, 100%, B29/B16))</f>
        <v>0</v>
      </c>
      <c r="C30" s="115">
        <f t="shared" ref="C30:L30" si="7" xml:space="preserve"> IF(C29&lt;=0,0, IF(C16&lt;=0, 100%, C29/C16))</f>
        <v>0</v>
      </c>
      <c r="D30" s="115">
        <f t="shared" si="7"/>
        <v>0</v>
      </c>
      <c r="E30" s="115">
        <f t="shared" si="7"/>
        <v>0</v>
      </c>
      <c r="F30" s="115">
        <f t="shared" si="7"/>
        <v>0</v>
      </c>
      <c r="G30" s="115">
        <f t="shared" si="7"/>
        <v>0</v>
      </c>
      <c r="H30" s="115">
        <f t="shared" si="7"/>
        <v>0</v>
      </c>
      <c r="I30" s="115">
        <f t="shared" si="7"/>
        <v>0</v>
      </c>
      <c r="J30" s="115">
        <f t="shared" si="7"/>
        <v>0</v>
      </c>
      <c r="K30" s="115">
        <f t="shared" si="7"/>
        <v>0</v>
      </c>
      <c r="L30" s="115">
        <f t="shared" si="7"/>
        <v>0</v>
      </c>
      <c r="M30" s="165" t="s">
        <v>550</v>
      </c>
      <c r="N30" s="114" t="str">
        <f>+ IF(ROUND(B30,2)=ROUND(Summary!A27,2),"OK","ERR")</f>
        <v>OK</v>
      </c>
      <c r="P30" s="122"/>
    </row>
  </sheetData>
  <sheetProtection algorithmName="SHA-512" hashValue="kjw1FJKdex+7/tAxvAp3wIcZswoGHbRe5DWt86PaHWuml8ODlcY9IKM/vf8y5mHAPGrimihvizkg+rvHdG5JFA==" saltValue="rs4DqQ2BG1p2+mw707UVnA==" spinCount="100000" sheet="1" formatCells="0" formatColumns="0" formatRows="0"/>
  <conditionalFormatting sqref="B30:L30">
    <cfRule type="containsText" dxfId="15" priority="4" operator="containsText" text="ERR">
      <formula>NOT(ISERROR(SEARCH("ERR",B30)))</formula>
    </cfRule>
  </conditionalFormatting>
  <conditionalFormatting sqref="C13:L15">
    <cfRule type="containsText" dxfId="14" priority="34" operator="containsText" text="ERR">
      <formula>NOT(ISERROR(SEARCH("ERR",C13)))</formula>
    </cfRule>
  </conditionalFormatting>
  <conditionalFormatting sqref="C20:L22">
    <cfRule type="containsText" dxfId="13" priority="33" operator="containsText" text="ERR">
      <formula>NOT(ISERROR(SEARCH("ERR",C20)))</formula>
    </cfRule>
  </conditionalFormatting>
  <conditionalFormatting sqref="C30:L30">
    <cfRule type="containsText" dxfId="12" priority="3" operator="containsText" text="EMPTY">
      <formula>NOT(ISERROR(SEARCH("EMPTY",C30)))</formula>
    </cfRule>
  </conditionalFormatting>
  <conditionalFormatting sqref="N12 N16">
    <cfRule type="cellIs" dxfId="11" priority="24" operator="equal">
      <formula>"ERR"</formula>
    </cfRule>
    <cfRule type="cellIs" dxfId="10" priority="25" operator="equal">
      <formula>"OK"</formula>
    </cfRule>
  </conditionalFormatting>
  <conditionalFormatting sqref="N23">
    <cfRule type="cellIs" dxfId="9" priority="22" operator="equal">
      <formula>"ERR"</formula>
    </cfRule>
    <cfRule type="cellIs" dxfId="8" priority="23" operator="equal">
      <formula>"OK"</formula>
    </cfRule>
  </conditionalFormatting>
  <conditionalFormatting sqref="N29:N30">
    <cfRule type="cellIs" dxfId="7" priority="14" operator="equal">
      <formula>"ERR"</formula>
    </cfRule>
    <cfRule type="cellIs" dxfId="6" priority="15" operator="equal">
      <formula>"OK"</formula>
    </cfRule>
  </conditionalFormatting>
  <dataValidations count="1">
    <dataValidation type="decimal" operator="greaterThanOrEqual" allowBlank="1" showInputMessage="1" showErrorMessage="1" sqref="C13:L15 C20:L22" xr:uid="{3BF6128D-DC51-4990-91AC-D4A05112173B}">
      <formula1>-1000000000000000</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O14"/>
  <sheetViews>
    <sheetView zoomScaleNormal="100" workbookViewId="0"/>
  </sheetViews>
  <sheetFormatPr defaultColWidth="9.140625" defaultRowHeight="14.25" x14ac:dyDescent="0.2"/>
  <cols>
    <col min="1" max="1" width="4.140625" style="3" customWidth="1"/>
    <col min="2" max="16384" width="9.140625" style="3"/>
  </cols>
  <sheetData>
    <row r="2" spans="2:15" ht="15" x14ac:dyDescent="0.25">
      <c r="B2" s="2" t="s">
        <v>144</v>
      </c>
    </row>
    <row r="3" spans="2:15" ht="63" customHeight="1" x14ac:dyDescent="0.2">
      <c r="B3" s="282" t="s">
        <v>652</v>
      </c>
      <c r="C3" s="283"/>
      <c r="D3" s="283"/>
      <c r="E3" s="283"/>
      <c r="F3" s="283"/>
      <c r="G3" s="283"/>
      <c r="H3" s="283"/>
      <c r="I3" s="283"/>
      <c r="J3" s="283"/>
      <c r="K3" s="283"/>
      <c r="L3" s="283"/>
      <c r="M3" s="283"/>
      <c r="N3" s="283"/>
      <c r="O3" s="283"/>
    </row>
    <row r="4" spans="2:15" x14ac:dyDescent="0.2">
      <c r="B4" s="52"/>
      <c r="C4" s="52"/>
      <c r="D4" s="52"/>
      <c r="E4" s="52"/>
      <c r="F4" s="52"/>
      <c r="G4" s="52"/>
      <c r="H4" s="52"/>
      <c r="I4" s="52"/>
      <c r="J4" s="52"/>
      <c r="K4" s="52"/>
      <c r="L4" s="52"/>
      <c r="M4" s="52"/>
      <c r="N4" s="52"/>
      <c r="O4" s="52"/>
    </row>
    <row r="14" spans="2:15" ht="26.25" x14ac:dyDescent="0.4">
      <c r="D14" s="4"/>
      <c r="F14" s="5"/>
    </row>
  </sheetData>
  <mergeCells count="1">
    <mergeCell ref="B3:O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37"/>
  <sheetViews>
    <sheetView zoomScaleNormal="100" workbookViewId="0"/>
  </sheetViews>
  <sheetFormatPr defaultColWidth="9.140625" defaultRowHeight="14.25" x14ac:dyDescent="0.25"/>
  <cols>
    <col min="1" max="1" width="22.5703125" style="122" customWidth="1"/>
    <col min="2" max="3" width="15.85546875" style="122" customWidth="1"/>
    <col min="4" max="4" width="23.42578125" style="122" customWidth="1"/>
    <col min="5" max="5" width="27.85546875" style="122" customWidth="1"/>
    <col min="6" max="6" width="16.85546875" style="37" customWidth="1"/>
    <col min="7" max="16" width="10.140625" style="122" customWidth="1"/>
    <col min="17" max="17" width="11.42578125" style="122" customWidth="1"/>
    <col min="18" max="18" width="35.5703125" style="122" customWidth="1"/>
    <col min="19" max="30" width="15.140625" style="122" customWidth="1"/>
    <col min="31" max="31" width="46.140625" style="122" customWidth="1"/>
    <col min="32" max="32" width="26.140625" style="122" customWidth="1"/>
    <col min="33" max="33" width="17.85546875" style="122" customWidth="1"/>
    <col min="34" max="34" width="28.42578125" style="122" customWidth="1"/>
    <col min="35" max="35" width="17.85546875" style="122" customWidth="1"/>
    <col min="36" max="36" width="18.5703125" style="122" customWidth="1"/>
    <col min="37" max="37" width="27.42578125" style="122" customWidth="1"/>
    <col min="38" max="38" width="21.85546875" style="122" customWidth="1"/>
    <col min="39" max="39" width="24.28515625" style="122" customWidth="1"/>
    <col min="40" max="16384" width="9.140625" style="122"/>
  </cols>
  <sheetData>
    <row r="1" spans="1:39" ht="15" x14ac:dyDescent="0.25">
      <c r="A1" s="143" t="s">
        <v>559</v>
      </c>
      <c r="B1" s="244"/>
      <c r="C1" s="244"/>
      <c r="D1" s="244"/>
      <c r="E1" s="244"/>
      <c r="F1" s="140"/>
      <c r="G1" s="244"/>
      <c r="H1" s="244"/>
    </row>
    <row r="2" spans="1:39" ht="15" customHeight="1" x14ac:dyDescent="0.25">
      <c r="A2" s="144" t="s">
        <v>115</v>
      </c>
    </row>
    <row r="3" spans="1:39" ht="15" customHeight="1" x14ac:dyDescent="0.25">
      <c r="A3" s="144" t="s">
        <v>116</v>
      </c>
    </row>
    <row r="4" spans="1:39" ht="15" thickBot="1" x14ac:dyDescent="0.3"/>
    <row r="5" spans="1:39" ht="30.75" thickBot="1" x14ac:dyDescent="0.3">
      <c r="A5" s="145" t="s">
        <v>117</v>
      </c>
      <c r="B5" s="146" t="s">
        <v>561</v>
      </c>
      <c r="C5" s="13" t="s">
        <v>576</v>
      </c>
    </row>
    <row r="6" spans="1:39" ht="19.5" thickBot="1" x14ac:dyDescent="0.3">
      <c r="A6" s="148" t="s">
        <v>119</v>
      </c>
      <c r="B6" s="149">
        <f>SUMIF($A$20:$A$34,A6,$AD$20:$AD$34)</f>
        <v>0</v>
      </c>
      <c r="C6" s="141"/>
    </row>
    <row r="7" spans="1:39" ht="19.5" thickBot="1" x14ac:dyDescent="0.3">
      <c r="A7" s="148" t="s">
        <v>120</v>
      </c>
      <c r="B7" s="149">
        <f>SUMIF($A$20:$A$34,A7,$AD$20:$AD$34)</f>
        <v>0</v>
      </c>
      <c r="C7" s="141"/>
    </row>
    <row r="8" spans="1:39" ht="19.5" thickBot="1" x14ac:dyDescent="0.3">
      <c r="A8" s="148" t="s">
        <v>121</v>
      </c>
      <c r="B8" s="149">
        <f>SUMIF($A$20:$A$34,A8,$AD$20:$AD$34)</f>
        <v>0</v>
      </c>
      <c r="C8" s="141"/>
    </row>
    <row r="9" spans="1:39" ht="48.75" thickBot="1" x14ac:dyDescent="0.3">
      <c r="A9" s="151" t="s">
        <v>122</v>
      </c>
      <c r="B9" s="152">
        <f>SUM(B6:B8)</f>
        <v>0</v>
      </c>
      <c r="C9" s="141" t="s">
        <v>520</v>
      </c>
      <c r="D9" s="114" t="str">
        <f>+ IF(AND(ROUND(B9,2)=ROUND(AD21,2),ROUND(B9,2)=ROUND(SUM(T21:AC21),2)),"OK","ERR")</f>
        <v>OK</v>
      </c>
    </row>
    <row r="10" spans="1:39" x14ac:dyDescent="0.25">
      <c r="A10" s="245"/>
      <c r="B10" s="245"/>
      <c r="C10" s="245"/>
    </row>
    <row r="11" spans="1:39" ht="15" x14ac:dyDescent="0.25">
      <c r="A11" s="143" t="s">
        <v>123</v>
      </c>
      <c r="B11" s="244"/>
      <c r="C11" s="244"/>
      <c r="D11" s="244"/>
      <c r="E11" s="244"/>
      <c r="F11" s="140"/>
      <c r="G11" s="244"/>
      <c r="H11" s="244"/>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row>
    <row r="12" spans="1:39" ht="15" customHeight="1" x14ac:dyDescent="0.25">
      <c r="A12" s="246" t="s">
        <v>673</v>
      </c>
      <c r="B12" s="247"/>
      <c r="C12" s="247"/>
      <c r="D12" s="248"/>
      <c r="E12" s="248"/>
      <c r="F12" s="252"/>
      <c r="G12" s="248"/>
      <c r="H12" s="248"/>
      <c r="I12" s="248"/>
      <c r="J12" s="248"/>
      <c r="K12" s="248"/>
      <c r="L12" s="248"/>
      <c r="M12" s="248"/>
      <c r="N12" s="248"/>
      <c r="O12" s="248"/>
      <c r="P12" s="248"/>
      <c r="Q12" s="248"/>
      <c r="R12" s="248"/>
    </row>
    <row r="13" spans="1:39" ht="15" x14ac:dyDescent="0.25">
      <c r="A13" s="89"/>
      <c r="B13" s="248"/>
      <c r="C13" s="248"/>
      <c r="D13" s="248"/>
      <c r="E13" s="248"/>
      <c r="F13" s="252"/>
      <c r="G13" s="248"/>
      <c r="H13" s="248"/>
      <c r="I13" s="248"/>
      <c r="J13" s="248"/>
      <c r="K13" s="248"/>
      <c r="L13" s="248"/>
      <c r="M13" s="248"/>
      <c r="N13" s="248"/>
      <c r="O13" s="248"/>
      <c r="P13" s="248"/>
      <c r="Q13" s="248"/>
      <c r="R13" s="248"/>
    </row>
    <row r="14" spans="1:39" s="37" customFormat="1" ht="15.75" customHeight="1" thickBot="1" x14ac:dyDescent="0.3">
      <c r="A14" s="284" t="s">
        <v>700</v>
      </c>
      <c r="B14" s="284"/>
      <c r="C14" s="284"/>
      <c r="D14" s="284"/>
      <c r="E14" s="284"/>
      <c r="F14" s="284"/>
      <c r="G14" s="284"/>
      <c r="H14" s="284"/>
      <c r="I14" s="284"/>
      <c r="J14" s="284"/>
      <c r="K14" s="284"/>
      <c r="L14" s="284"/>
      <c r="M14" s="284"/>
      <c r="N14" s="284"/>
      <c r="O14" s="284"/>
      <c r="P14" s="284"/>
      <c r="Q14" s="284"/>
      <c r="R14" s="285"/>
      <c r="S14" s="284"/>
      <c r="T14" s="284"/>
      <c r="U14" s="284"/>
      <c r="V14" s="284"/>
      <c r="W14" s="284"/>
      <c r="X14" s="284"/>
      <c r="Y14" s="284"/>
      <c r="Z14" s="284"/>
      <c r="AA14" s="284"/>
      <c r="AB14" s="284"/>
      <c r="AC14" s="284"/>
      <c r="AD14" s="284"/>
      <c r="AE14" s="284"/>
      <c r="AF14" s="286" t="s">
        <v>432</v>
      </c>
      <c r="AG14" s="287"/>
      <c r="AH14" s="287"/>
      <c r="AI14" s="287"/>
      <c r="AJ14" s="287"/>
      <c r="AK14" s="287"/>
      <c r="AL14" s="287"/>
      <c r="AM14" s="287"/>
    </row>
    <row r="15" spans="1:39" s="153" customFormat="1" ht="51.75" thickBot="1" x14ac:dyDescent="0.3">
      <c r="A15" s="40" t="s">
        <v>685</v>
      </c>
      <c r="B15" s="35" t="s">
        <v>124</v>
      </c>
      <c r="C15" s="35" t="s">
        <v>92</v>
      </c>
      <c r="D15" s="35" t="s">
        <v>687</v>
      </c>
      <c r="E15" s="35" t="s">
        <v>125</v>
      </c>
      <c r="F15" s="257" t="s">
        <v>686</v>
      </c>
      <c r="G15" s="40" t="s">
        <v>105</v>
      </c>
      <c r="H15" s="40" t="s">
        <v>106</v>
      </c>
      <c r="I15" s="40" t="s">
        <v>107</v>
      </c>
      <c r="J15" s="40" t="s">
        <v>108</v>
      </c>
      <c r="K15" s="40" t="s">
        <v>109</v>
      </c>
      <c r="L15" s="40" t="s">
        <v>110</v>
      </c>
      <c r="M15" s="40" t="s">
        <v>111</v>
      </c>
      <c r="N15" s="40" t="s">
        <v>112</v>
      </c>
      <c r="O15" s="40" t="s">
        <v>113</v>
      </c>
      <c r="P15" s="40" t="s">
        <v>114</v>
      </c>
      <c r="Q15" s="40" t="s">
        <v>96</v>
      </c>
      <c r="R15" s="40" t="s">
        <v>703</v>
      </c>
      <c r="S15" s="40" t="s">
        <v>127</v>
      </c>
      <c r="T15" s="40" t="s">
        <v>563</v>
      </c>
      <c r="U15" s="40" t="s">
        <v>564</v>
      </c>
      <c r="V15" s="40" t="s">
        <v>565</v>
      </c>
      <c r="W15" s="40" t="s">
        <v>566</v>
      </c>
      <c r="X15" s="40" t="s">
        <v>567</v>
      </c>
      <c r="Y15" s="40" t="s">
        <v>568</v>
      </c>
      <c r="Z15" s="40" t="s">
        <v>569</v>
      </c>
      <c r="AA15" s="40" t="s">
        <v>570</v>
      </c>
      <c r="AB15" s="40" t="s">
        <v>571</v>
      </c>
      <c r="AC15" s="40" t="s">
        <v>572</v>
      </c>
      <c r="AD15" s="40" t="s">
        <v>128</v>
      </c>
      <c r="AE15" s="40" t="s">
        <v>702</v>
      </c>
      <c r="AF15" s="40" t="s">
        <v>696</v>
      </c>
      <c r="AG15" s="40" t="s">
        <v>697</v>
      </c>
      <c r="AH15" s="40" t="s">
        <v>132</v>
      </c>
      <c r="AI15" s="40" t="s">
        <v>129</v>
      </c>
      <c r="AJ15" s="40" t="s">
        <v>698</v>
      </c>
      <c r="AK15" s="40" t="s">
        <v>699</v>
      </c>
      <c r="AL15" s="40" t="s">
        <v>130</v>
      </c>
      <c r="AM15" s="40" t="s">
        <v>131</v>
      </c>
    </row>
    <row r="16" spans="1:39" s="153" customFormat="1" ht="15.75" thickBot="1" x14ac:dyDescent="0.3">
      <c r="A16" s="268" t="s">
        <v>639</v>
      </c>
      <c r="B16" s="17"/>
      <c r="C16" s="17"/>
      <c r="D16" s="17"/>
      <c r="E16" s="17"/>
      <c r="F16" s="17"/>
      <c r="G16" s="17"/>
      <c r="H16" s="17"/>
      <c r="I16" s="17"/>
      <c r="J16" s="17"/>
      <c r="K16" s="17"/>
      <c r="L16" s="17"/>
      <c r="M16" s="17"/>
      <c r="N16" s="17"/>
      <c r="O16" s="17"/>
      <c r="P16" s="17"/>
      <c r="Q16" s="10"/>
      <c r="R16" s="17"/>
      <c r="S16" s="17"/>
      <c r="T16" s="17"/>
      <c r="U16" s="17"/>
      <c r="V16" s="17"/>
      <c r="W16" s="17"/>
      <c r="X16" s="17"/>
      <c r="Y16" s="10"/>
      <c r="Z16" s="10"/>
      <c r="AA16" s="10"/>
      <c r="AB16" s="17"/>
      <c r="AC16" s="17"/>
      <c r="AD16" s="10"/>
      <c r="AE16" s="10"/>
      <c r="AF16" s="10"/>
      <c r="AG16" s="10"/>
      <c r="AH16" s="17"/>
      <c r="AI16" s="17"/>
      <c r="AJ16" s="10"/>
      <c r="AK16" s="17"/>
      <c r="AL16" s="10"/>
      <c r="AM16" s="17"/>
    </row>
    <row r="17" spans="1:39" s="153" customFormat="1" ht="72" thickBot="1" x14ac:dyDescent="0.3">
      <c r="A17" s="82"/>
      <c r="B17" s="53"/>
      <c r="C17" s="53"/>
      <c r="D17" s="15" t="s">
        <v>689</v>
      </c>
      <c r="E17" s="255" t="s">
        <v>688</v>
      </c>
      <c r="F17" s="253" t="s">
        <v>688</v>
      </c>
      <c r="G17" s="95"/>
      <c r="H17" s="95"/>
      <c r="I17" s="95"/>
      <c r="J17" s="95"/>
      <c r="K17" s="95"/>
      <c r="L17" s="95"/>
      <c r="M17" s="95"/>
      <c r="N17" s="95"/>
      <c r="O17" s="95"/>
      <c r="P17" s="95"/>
      <c r="Q17" s="103">
        <f>SUM(G17:P17)</f>
        <v>0</v>
      </c>
      <c r="R17" s="221" t="s">
        <v>638</v>
      </c>
      <c r="S17" s="80"/>
      <c r="T17" s="80"/>
      <c r="U17" s="80"/>
      <c r="V17" s="80"/>
      <c r="W17" s="80"/>
      <c r="X17" s="80"/>
      <c r="Y17" s="80"/>
      <c r="Z17" s="80"/>
      <c r="AA17" s="80"/>
      <c r="AB17" s="80"/>
      <c r="AC17" s="80"/>
      <c r="AD17" s="80"/>
      <c r="AE17" s="12"/>
      <c r="AF17" s="258"/>
      <c r="AG17" s="258"/>
      <c r="AH17" s="259"/>
      <c r="AI17" s="260"/>
      <c r="AJ17" s="260"/>
      <c r="AK17" s="260"/>
      <c r="AL17" s="260"/>
      <c r="AM17" s="260"/>
    </row>
    <row r="18" spans="1:39" s="153" customFormat="1" ht="72" thickBot="1" x14ac:dyDescent="0.3">
      <c r="A18" s="82"/>
      <c r="B18" s="88"/>
      <c r="C18" s="88"/>
      <c r="D18" s="15" t="s">
        <v>690</v>
      </c>
      <c r="E18" s="255" t="s">
        <v>688</v>
      </c>
      <c r="F18" s="253" t="s">
        <v>688</v>
      </c>
      <c r="G18" s="96"/>
      <c r="H18" s="96"/>
      <c r="I18" s="96"/>
      <c r="J18" s="96"/>
      <c r="K18" s="96"/>
      <c r="L18" s="96"/>
      <c r="M18" s="96"/>
      <c r="N18" s="96"/>
      <c r="O18" s="96"/>
      <c r="P18" s="96"/>
      <c r="Q18" s="103">
        <f>SUM(G18:P18)</f>
        <v>0</v>
      </c>
      <c r="R18" s="221" t="s">
        <v>638</v>
      </c>
      <c r="S18" s="80"/>
      <c r="T18" s="80"/>
      <c r="U18" s="80"/>
      <c r="V18" s="80"/>
      <c r="W18" s="80"/>
      <c r="X18" s="80"/>
      <c r="Y18" s="80"/>
      <c r="Z18" s="80"/>
      <c r="AA18" s="80"/>
      <c r="AB18" s="80"/>
      <c r="AC18" s="80"/>
      <c r="AD18" s="80"/>
      <c r="AE18" s="12"/>
      <c r="AF18" s="258"/>
      <c r="AG18" s="258"/>
      <c r="AH18" s="259"/>
      <c r="AI18" s="260"/>
      <c r="AJ18" s="260"/>
      <c r="AK18" s="260"/>
      <c r="AL18" s="260"/>
      <c r="AM18" s="260"/>
    </row>
    <row r="19" spans="1:39" s="153" customFormat="1" ht="72" thickBot="1" x14ac:dyDescent="0.3">
      <c r="A19" s="82"/>
      <c r="B19" s="88"/>
      <c r="C19" s="88"/>
      <c r="D19" s="15" t="s">
        <v>691</v>
      </c>
      <c r="E19" s="255" t="s">
        <v>688</v>
      </c>
      <c r="F19" s="253" t="s">
        <v>688</v>
      </c>
      <c r="G19" s="96"/>
      <c r="H19" s="96"/>
      <c r="I19" s="96"/>
      <c r="J19" s="96"/>
      <c r="K19" s="96"/>
      <c r="L19" s="96"/>
      <c r="M19" s="96"/>
      <c r="N19" s="96"/>
      <c r="O19" s="96"/>
      <c r="P19" s="96"/>
      <c r="Q19" s="103">
        <f>SUM(G19:P19)</f>
        <v>0</v>
      </c>
      <c r="R19" s="221" t="s">
        <v>638</v>
      </c>
      <c r="S19" s="80"/>
      <c r="T19" s="80"/>
      <c r="U19" s="80"/>
      <c r="V19" s="80"/>
      <c r="W19" s="80"/>
      <c r="X19" s="80"/>
      <c r="Y19" s="80"/>
      <c r="Z19" s="80"/>
      <c r="AA19" s="80"/>
      <c r="AB19" s="80"/>
      <c r="AC19" s="80"/>
      <c r="AD19" s="80"/>
      <c r="AE19" s="12"/>
      <c r="AF19" s="258"/>
      <c r="AG19" s="258"/>
      <c r="AH19" s="259"/>
      <c r="AI19" s="260"/>
      <c r="AJ19" s="260"/>
      <c r="AK19" s="260"/>
      <c r="AL19" s="260"/>
      <c r="AM19" s="260"/>
    </row>
    <row r="20" spans="1:39" s="153" customFormat="1" ht="15.75" thickBot="1" x14ac:dyDescent="0.3">
      <c r="A20" s="268" t="s">
        <v>133</v>
      </c>
      <c r="B20" s="17"/>
      <c r="C20" s="17"/>
      <c r="D20" s="17"/>
      <c r="E20" s="17"/>
      <c r="F20" s="17"/>
      <c r="G20" s="17"/>
      <c r="H20" s="17"/>
      <c r="I20" s="17"/>
      <c r="J20" s="17"/>
      <c r="K20" s="17"/>
      <c r="L20" s="17"/>
      <c r="M20" s="17"/>
      <c r="N20" s="17"/>
      <c r="O20" s="17"/>
      <c r="P20" s="17"/>
      <c r="Q20" s="10"/>
      <c r="R20" s="17"/>
      <c r="S20" s="17"/>
      <c r="T20" s="17"/>
      <c r="U20" s="17"/>
      <c r="V20" s="17"/>
      <c r="W20" s="17"/>
      <c r="X20" s="17"/>
      <c r="Y20" s="10"/>
      <c r="Z20" s="10"/>
      <c r="AA20" s="10"/>
      <c r="AB20" s="17"/>
      <c r="AC20" s="17"/>
      <c r="AD20" s="10"/>
      <c r="AE20" s="10"/>
      <c r="AF20" s="10"/>
      <c r="AG20" s="10"/>
      <c r="AH20" s="10"/>
      <c r="AI20" s="10"/>
      <c r="AJ20" s="10"/>
      <c r="AK20" s="10"/>
      <c r="AL20" s="10"/>
      <c r="AM20" s="17"/>
    </row>
    <row r="21" spans="1:39" s="153" customFormat="1" ht="43.5" thickBot="1" x14ac:dyDescent="0.3">
      <c r="A21" s="15" t="s">
        <v>134</v>
      </c>
      <c r="B21" s="82"/>
      <c r="C21" s="82"/>
      <c r="D21" s="82"/>
      <c r="E21" s="82"/>
      <c r="F21" s="254"/>
      <c r="G21" s="80"/>
      <c r="H21" s="80"/>
      <c r="I21" s="80"/>
      <c r="J21" s="80"/>
      <c r="K21" s="80"/>
      <c r="L21" s="80"/>
      <c r="M21" s="80"/>
      <c r="N21" s="80"/>
      <c r="O21" s="80"/>
      <c r="P21" s="80"/>
      <c r="Q21" s="80"/>
      <c r="R21" s="249"/>
      <c r="S21" s="80"/>
      <c r="T21" s="97">
        <f>SUM(T22:T34)</f>
        <v>0</v>
      </c>
      <c r="U21" s="97">
        <f>SUM(U22:U34)</f>
        <v>0</v>
      </c>
      <c r="V21" s="97">
        <f>SUM(V22:V34)</f>
        <v>0</v>
      </c>
      <c r="W21" s="97">
        <f>SUM(W22:W34)</f>
        <v>0</v>
      </c>
      <c r="X21" s="97">
        <f>SUM(X22:X34)</f>
        <v>0</v>
      </c>
      <c r="Y21" s="97">
        <f t="shared" ref="Y21:AC21" si="0">SUM(Y22:Y34)</f>
        <v>0</v>
      </c>
      <c r="Z21" s="97">
        <f t="shared" si="0"/>
        <v>0</v>
      </c>
      <c r="AA21" s="97">
        <f t="shared" si="0"/>
        <v>0</v>
      </c>
      <c r="AB21" s="97">
        <f t="shared" si="0"/>
        <v>0</v>
      </c>
      <c r="AC21" s="97">
        <f t="shared" si="0"/>
        <v>0</v>
      </c>
      <c r="AD21" s="97">
        <f>SUM(AD22:AD34)</f>
        <v>0</v>
      </c>
      <c r="AE21" s="221" t="s">
        <v>695</v>
      </c>
      <c r="AF21" s="80"/>
      <c r="AG21" s="80"/>
      <c r="AH21" s="80"/>
      <c r="AI21" s="80"/>
      <c r="AJ21" s="80"/>
      <c r="AK21" s="80"/>
      <c r="AL21" s="80"/>
      <c r="AM21" s="80"/>
    </row>
    <row r="22" spans="1:39" s="37" customFormat="1" ht="15.75" thickBot="1" x14ac:dyDescent="0.3">
      <c r="A22" s="268" t="s">
        <v>713</v>
      </c>
      <c r="B22" s="84"/>
      <c r="C22" s="84"/>
      <c r="D22" s="84"/>
      <c r="E22" s="84"/>
      <c r="F22" s="10"/>
      <c r="G22" s="78"/>
      <c r="H22" s="78"/>
      <c r="I22" s="78"/>
      <c r="J22" s="78"/>
      <c r="K22" s="78"/>
      <c r="L22" s="78"/>
      <c r="M22" s="78"/>
      <c r="N22" s="78"/>
      <c r="O22" s="78"/>
      <c r="P22" s="78"/>
      <c r="Q22" s="78"/>
      <c r="R22" s="10"/>
      <c r="S22" s="78"/>
      <c r="T22" s="98"/>
      <c r="U22" s="98"/>
      <c r="V22" s="98"/>
      <c r="W22" s="98"/>
      <c r="X22" s="98"/>
      <c r="Y22" s="98"/>
      <c r="Z22" s="98"/>
      <c r="AA22" s="98"/>
      <c r="AB22" s="98"/>
      <c r="AC22" s="98"/>
      <c r="AD22" s="98"/>
      <c r="AE22" s="251"/>
      <c r="AF22" s="17"/>
      <c r="AG22" s="17"/>
      <c r="AH22" s="17"/>
      <c r="AI22" s="17"/>
      <c r="AJ22" s="17"/>
      <c r="AK22" s="17"/>
      <c r="AL22" s="17"/>
      <c r="AM22" s="17"/>
    </row>
    <row r="23" spans="1:39" ht="29.25" thickBot="1" x14ac:dyDescent="0.3">
      <c r="A23" s="15" t="s">
        <v>21</v>
      </c>
      <c r="B23" s="53"/>
      <c r="C23" s="53"/>
      <c r="D23" s="53"/>
      <c r="E23" s="53"/>
      <c r="F23" s="253" t="s">
        <v>688</v>
      </c>
      <c r="G23" s="95"/>
      <c r="H23" s="95"/>
      <c r="I23" s="95"/>
      <c r="J23" s="95"/>
      <c r="K23" s="95"/>
      <c r="L23" s="95"/>
      <c r="M23" s="95"/>
      <c r="N23" s="95"/>
      <c r="O23" s="95"/>
      <c r="P23" s="95"/>
      <c r="Q23" s="103">
        <f>SUM(G23:P23)</f>
        <v>0</v>
      </c>
      <c r="R23" s="12"/>
      <c r="S23" s="83"/>
      <c r="T23" s="95"/>
      <c r="U23" s="95"/>
      <c r="V23" s="95"/>
      <c r="W23" s="95"/>
      <c r="X23" s="95"/>
      <c r="Y23" s="95"/>
      <c r="Z23" s="95"/>
      <c r="AA23" s="95"/>
      <c r="AB23" s="95"/>
      <c r="AC23" s="95"/>
      <c r="AD23" s="97">
        <f>SUM(T23:AC23)</f>
        <v>0</v>
      </c>
      <c r="AE23" s="221" t="s">
        <v>135</v>
      </c>
      <c r="AF23" s="258"/>
      <c r="AG23" s="258"/>
      <c r="AH23" s="259"/>
      <c r="AI23" s="260"/>
      <c r="AJ23" s="260"/>
      <c r="AK23" s="260"/>
      <c r="AL23" s="260"/>
      <c r="AM23" s="260"/>
    </row>
    <row r="24" spans="1:39" ht="29.25" thickBot="1" x14ac:dyDescent="0.3">
      <c r="A24" s="15" t="s">
        <v>21</v>
      </c>
      <c r="B24" s="53"/>
      <c r="C24" s="53"/>
      <c r="D24" s="53"/>
      <c r="E24" s="53"/>
      <c r="F24" s="253" t="s">
        <v>688</v>
      </c>
      <c r="G24" s="95"/>
      <c r="H24" s="95"/>
      <c r="I24" s="95"/>
      <c r="J24" s="95"/>
      <c r="K24" s="95"/>
      <c r="L24" s="95"/>
      <c r="M24" s="95"/>
      <c r="N24" s="95"/>
      <c r="O24" s="95"/>
      <c r="P24" s="95"/>
      <c r="Q24" s="103">
        <f t="shared" ref="Q24:Q25" si="1">SUM(G24:P24)</f>
        <v>0</v>
      </c>
      <c r="R24" s="12"/>
      <c r="S24" s="81"/>
      <c r="T24" s="95"/>
      <c r="U24" s="95"/>
      <c r="V24" s="95"/>
      <c r="W24" s="95"/>
      <c r="X24" s="95"/>
      <c r="Y24" s="95"/>
      <c r="Z24" s="95"/>
      <c r="AA24" s="95"/>
      <c r="AB24" s="95"/>
      <c r="AC24" s="95"/>
      <c r="AD24" s="97">
        <f t="shared" ref="AD24:AD29" si="2">SUM(T24:AC24)</f>
        <v>0</v>
      </c>
      <c r="AE24" s="221" t="s">
        <v>135</v>
      </c>
      <c r="AF24" s="258"/>
      <c r="AG24" s="258"/>
      <c r="AH24" s="259"/>
      <c r="AI24" s="260"/>
      <c r="AJ24" s="260"/>
      <c r="AK24" s="260"/>
      <c r="AL24" s="260"/>
      <c r="AM24" s="260"/>
    </row>
    <row r="25" spans="1:39" ht="29.25" thickBot="1" x14ac:dyDescent="0.3">
      <c r="A25" s="15" t="s">
        <v>21</v>
      </c>
      <c r="B25" s="53"/>
      <c r="C25" s="53"/>
      <c r="D25" s="53"/>
      <c r="E25" s="53"/>
      <c r="F25" s="253" t="s">
        <v>688</v>
      </c>
      <c r="G25" s="95"/>
      <c r="H25" s="95"/>
      <c r="I25" s="95"/>
      <c r="J25" s="95"/>
      <c r="K25" s="95"/>
      <c r="L25" s="95"/>
      <c r="M25" s="95"/>
      <c r="N25" s="95"/>
      <c r="O25" s="95"/>
      <c r="P25" s="95"/>
      <c r="Q25" s="103">
        <f t="shared" si="1"/>
        <v>0</v>
      </c>
      <c r="R25" s="12"/>
      <c r="S25" s="81"/>
      <c r="T25" s="95"/>
      <c r="U25" s="95"/>
      <c r="V25" s="95"/>
      <c r="W25" s="95"/>
      <c r="X25" s="95"/>
      <c r="Y25" s="95"/>
      <c r="Z25" s="95"/>
      <c r="AA25" s="95"/>
      <c r="AB25" s="95"/>
      <c r="AC25" s="95"/>
      <c r="AD25" s="97">
        <f t="shared" si="2"/>
        <v>0</v>
      </c>
      <c r="AE25" s="221" t="s">
        <v>135</v>
      </c>
      <c r="AF25" s="258"/>
      <c r="AG25" s="258"/>
      <c r="AH25" s="259"/>
      <c r="AI25" s="260"/>
      <c r="AJ25" s="260"/>
      <c r="AK25" s="260"/>
      <c r="AL25" s="260"/>
      <c r="AM25" s="260"/>
    </row>
    <row r="26" spans="1:39" s="37" customFormat="1" ht="15.75" thickBot="1" x14ac:dyDescent="0.3">
      <c r="A26" s="268" t="s">
        <v>714</v>
      </c>
      <c r="B26" s="84"/>
      <c r="C26" s="84"/>
      <c r="D26" s="84"/>
      <c r="E26" s="84"/>
      <c r="F26" s="10"/>
      <c r="G26" s="98"/>
      <c r="H26" s="98"/>
      <c r="I26" s="98"/>
      <c r="J26" s="98"/>
      <c r="K26" s="98"/>
      <c r="L26" s="98"/>
      <c r="M26" s="98"/>
      <c r="N26" s="98"/>
      <c r="O26" s="98"/>
      <c r="P26" s="98"/>
      <c r="Q26" s="98"/>
      <c r="R26" s="10"/>
      <c r="S26" s="79"/>
      <c r="T26" s="99"/>
      <c r="U26" s="99"/>
      <c r="V26" s="99"/>
      <c r="W26" s="99"/>
      <c r="X26" s="99"/>
      <c r="Y26" s="99"/>
      <c r="Z26" s="99"/>
      <c r="AA26" s="99"/>
      <c r="AB26" s="99"/>
      <c r="AC26" s="99"/>
      <c r="AD26" s="99"/>
      <c r="AE26" s="251"/>
      <c r="AF26" s="10"/>
      <c r="AG26" s="10"/>
      <c r="AH26" s="10"/>
      <c r="AI26" s="10"/>
      <c r="AJ26" s="10"/>
      <c r="AK26" s="10"/>
      <c r="AL26" s="10"/>
      <c r="AM26" s="10"/>
    </row>
    <row r="27" spans="1:39" ht="29.25" thickBot="1" x14ac:dyDescent="0.3">
      <c r="A27" s="15" t="s">
        <v>22</v>
      </c>
      <c r="B27" s="53"/>
      <c r="C27" s="53"/>
      <c r="D27" s="53"/>
      <c r="E27" s="53"/>
      <c r="F27" s="253" t="s">
        <v>688</v>
      </c>
      <c r="G27" s="95"/>
      <c r="H27" s="95"/>
      <c r="I27" s="95"/>
      <c r="J27" s="95"/>
      <c r="K27" s="95"/>
      <c r="L27" s="95"/>
      <c r="M27" s="95"/>
      <c r="N27" s="95"/>
      <c r="O27" s="95"/>
      <c r="P27" s="95"/>
      <c r="Q27" s="103">
        <f t="shared" ref="Q27" si="3">SUM(G27:P27)</f>
        <v>0</v>
      </c>
      <c r="R27" s="12"/>
      <c r="S27" s="81"/>
      <c r="T27" s="95"/>
      <c r="U27" s="95"/>
      <c r="V27" s="95"/>
      <c r="W27" s="95"/>
      <c r="X27" s="95"/>
      <c r="Y27" s="95"/>
      <c r="Z27" s="95"/>
      <c r="AA27" s="95"/>
      <c r="AB27" s="95"/>
      <c r="AC27" s="95"/>
      <c r="AD27" s="97">
        <f>SUM(T27:AC27)</f>
        <v>0</v>
      </c>
      <c r="AE27" s="221" t="s">
        <v>135</v>
      </c>
      <c r="AF27" s="258"/>
      <c r="AG27" s="258"/>
      <c r="AH27" s="259"/>
      <c r="AI27" s="260"/>
      <c r="AJ27" s="260"/>
      <c r="AK27" s="260"/>
      <c r="AL27" s="260"/>
      <c r="AM27" s="260"/>
    </row>
    <row r="28" spans="1:39" ht="29.25" thickBot="1" x14ac:dyDescent="0.3">
      <c r="A28" s="15" t="s">
        <v>22</v>
      </c>
      <c r="B28" s="53"/>
      <c r="C28" s="53"/>
      <c r="D28" s="53"/>
      <c r="E28" s="53"/>
      <c r="F28" s="253" t="s">
        <v>688</v>
      </c>
      <c r="G28" s="95"/>
      <c r="H28" s="95"/>
      <c r="I28" s="95"/>
      <c r="J28" s="95"/>
      <c r="K28" s="95"/>
      <c r="L28" s="95"/>
      <c r="M28" s="95"/>
      <c r="N28" s="95"/>
      <c r="O28" s="95"/>
      <c r="P28" s="95"/>
      <c r="Q28" s="103">
        <f t="shared" ref="Q28:Q29" si="4">SUM(G28:P28)</f>
        <v>0</v>
      </c>
      <c r="R28" s="12"/>
      <c r="S28" s="81"/>
      <c r="T28" s="95"/>
      <c r="U28" s="95"/>
      <c r="V28" s="95"/>
      <c r="W28" s="95"/>
      <c r="X28" s="95"/>
      <c r="Y28" s="95"/>
      <c r="Z28" s="95"/>
      <c r="AA28" s="95"/>
      <c r="AB28" s="95"/>
      <c r="AC28" s="95"/>
      <c r="AD28" s="97">
        <f t="shared" si="2"/>
        <v>0</v>
      </c>
      <c r="AE28" s="221" t="s">
        <v>135</v>
      </c>
      <c r="AF28" s="258"/>
      <c r="AG28" s="258"/>
      <c r="AH28" s="259"/>
      <c r="AI28" s="260"/>
      <c r="AJ28" s="260"/>
      <c r="AK28" s="260"/>
      <c r="AL28" s="260"/>
      <c r="AM28" s="260"/>
    </row>
    <row r="29" spans="1:39" ht="29.25" thickBot="1" x14ac:dyDescent="0.3">
      <c r="A29" s="15" t="s">
        <v>22</v>
      </c>
      <c r="B29" s="53"/>
      <c r="C29" s="53"/>
      <c r="D29" s="53"/>
      <c r="E29" s="53"/>
      <c r="F29" s="253" t="s">
        <v>688</v>
      </c>
      <c r="G29" s="95"/>
      <c r="H29" s="95"/>
      <c r="I29" s="95"/>
      <c r="J29" s="95"/>
      <c r="K29" s="95"/>
      <c r="L29" s="95"/>
      <c r="M29" s="95"/>
      <c r="N29" s="95"/>
      <c r="O29" s="95"/>
      <c r="P29" s="95"/>
      <c r="Q29" s="103">
        <f t="shared" si="4"/>
        <v>0</v>
      </c>
      <c r="R29" s="12"/>
      <c r="S29" s="81"/>
      <c r="T29" s="95"/>
      <c r="U29" s="95"/>
      <c r="V29" s="95"/>
      <c r="W29" s="95"/>
      <c r="X29" s="95"/>
      <c r="Y29" s="95"/>
      <c r="Z29" s="95"/>
      <c r="AA29" s="95"/>
      <c r="AB29" s="95"/>
      <c r="AC29" s="95"/>
      <c r="AD29" s="97">
        <f t="shared" si="2"/>
        <v>0</v>
      </c>
      <c r="AE29" s="221" t="s">
        <v>135</v>
      </c>
      <c r="AF29" s="258"/>
      <c r="AG29" s="258"/>
      <c r="AH29" s="259"/>
      <c r="AI29" s="260"/>
      <c r="AJ29" s="260"/>
      <c r="AK29" s="260"/>
      <c r="AL29" s="260"/>
      <c r="AM29" s="260"/>
    </row>
    <row r="30" spans="1:39" ht="15.75" thickBot="1" x14ac:dyDescent="0.3">
      <c r="A30" s="268" t="s">
        <v>711</v>
      </c>
      <c r="B30" s="84"/>
      <c r="C30" s="84"/>
      <c r="D30" s="84"/>
      <c r="E30" s="84"/>
      <c r="F30" s="10"/>
      <c r="G30" s="98"/>
      <c r="H30" s="98"/>
      <c r="I30" s="98"/>
      <c r="J30" s="98"/>
      <c r="K30" s="98"/>
      <c r="L30" s="98"/>
      <c r="M30" s="98"/>
      <c r="N30" s="98"/>
      <c r="O30" s="98"/>
      <c r="P30" s="98"/>
      <c r="Q30" s="98"/>
      <c r="R30" s="10"/>
      <c r="S30" s="79"/>
      <c r="T30" s="99"/>
      <c r="U30" s="99"/>
      <c r="V30" s="99"/>
      <c r="W30" s="99"/>
      <c r="X30" s="99"/>
      <c r="Y30" s="99"/>
      <c r="Z30" s="99"/>
      <c r="AA30" s="99"/>
      <c r="AB30" s="99"/>
      <c r="AC30" s="99"/>
      <c r="AD30" s="99"/>
      <c r="AE30" s="251"/>
      <c r="AF30" s="10"/>
      <c r="AG30" s="10"/>
      <c r="AH30" s="10"/>
      <c r="AI30" s="10"/>
      <c r="AJ30" s="10"/>
      <c r="AK30" s="10"/>
      <c r="AL30" s="10"/>
      <c r="AM30" s="10"/>
    </row>
    <row r="31" spans="1:39" ht="29.25" thickBot="1" x14ac:dyDescent="0.3">
      <c r="A31" s="15" t="s">
        <v>23</v>
      </c>
      <c r="B31" s="53"/>
      <c r="C31" s="53"/>
      <c r="D31" s="53"/>
      <c r="E31" s="53"/>
      <c r="F31" s="253" t="s">
        <v>688</v>
      </c>
      <c r="G31" s="95"/>
      <c r="H31" s="95"/>
      <c r="I31" s="95"/>
      <c r="J31" s="95"/>
      <c r="K31" s="95"/>
      <c r="L31" s="95"/>
      <c r="M31" s="95"/>
      <c r="N31" s="95"/>
      <c r="O31" s="95"/>
      <c r="P31" s="95"/>
      <c r="Q31" s="103">
        <f>SUM(G31:P31)</f>
        <v>0</v>
      </c>
      <c r="R31" s="12"/>
      <c r="S31" s="81"/>
      <c r="T31" s="95"/>
      <c r="U31" s="95"/>
      <c r="V31" s="95"/>
      <c r="W31" s="95"/>
      <c r="X31" s="95"/>
      <c r="Y31" s="95"/>
      <c r="Z31" s="95"/>
      <c r="AA31" s="95"/>
      <c r="AB31" s="95"/>
      <c r="AC31" s="95"/>
      <c r="AD31" s="97">
        <f t="shared" ref="AD31:AD33" si="5">SUM(T31:AC31)</f>
        <v>0</v>
      </c>
      <c r="AE31" s="221" t="s">
        <v>135</v>
      </c>
      <c r="AF31" s="258"/>
      <c r="AG31" s="258"/>
      <c r="AH31" s="259"/>
      <c r="AI31" s="260"/>
      <c r="AJ31" s="260"/>
      <c r="AK31" s="260"/>
      <c r="AL31" s="260"/>
      <c r="AM31" s="260"/>
    </row>
    <row r="32" spans="1:39" ht="29.25" thickBot="1" x14ac:dyDescent="0.3">
      <c r="A32" s="15" t="s">
        <v>23</v>
      </c>
      <c r="B32" s="53"/>
      <c r="C32" s="53"/>
      <c r="D32" s="53"/>
      <c r="E32" s="53"/>
      <c r="F32" s="253" t="s">
        <v>688</v>
      </c>
      <c r="G32" s="95"/>
      <c r="H32" s="95"/>
      <c r="I32" s="95"/>
      <c r="J32" s="95"/>
      <c r="K32" s="95"/>
      <c r="L32" s="95"/>
      <c r="M32" s="95"/>
      <c r="N32" s="95"/>
      <c r="O32" s="95"/>
      <c r="P32" s="95"/>
      <c r="Q32" s="103">
        <f t="shared" ref="Q32:Q33" si="6">SUM(G32:P32)</f>
        <v>0</v>
      </c>
      <c r="R32" s="12"/>
      <c r="S32" s="81"/>
      <c r="T32" s="95"/>
      <c r="U32" s="95"/>
      <c r="V32" s="95"/>
      <c r="W32" s="95"/>
      <c r="X32" s="95"/>
      <c r="Y32" s="95"/>
      <c r="Z32" s="95"/>
      <c r="AA32" s="95"/>
      <c r="AB32" s="95"/>
      <c r="AC32" s="95"/>
      <c r="AD32" s="97">
        <f t="shared" si="5"/>
        <v>0</v>
      </c>
      <c r="AE32" s="221" t="s">
        <v>135</v>
      </c>
      <c r="AF32" s="258"/>
      <c r="AG32" s="258"/>
      <c r="AH32" s="259"/>
      <c r="AI32" s="260"/>
      <c r="AJ32" s="260"/>
      <c r="AK32" s="260"/>
      <c r="AL32" s="260"/>
      <c r="AM32" s="260"/>
    </row>
    <row r="33" spans="1:39" ht="29.25" thickBot="1" x14ac:dyDescent="0.3">
      <c r="A33" s="15" t="s">
        <v>23</v>
      </c>
      <c r="B33" s="53"/>
      <c r="C33" s="53"/>
      <c r="D33" s="53"/>
      <c r="E33" s="53"/>
      <c r="F33" s="253" t="s">
        <v>688</v>
      </c>
      <c r="G33" s="95"/>
      <c r="H33" s="95"/>
      <c r="I33" s="95"/>
      <c r="J33" s="95"/>
      <c r="K33" s="95"/>
      <c r="L33" s="95"/>
      <c r="M33" s="95"/>
      <c r="N33" s="95"/>
      <c r="O33" s="95"/>
      <c r="P33" s="95"/>
      <c r="Q33" s="103">
        <f t="shared" si="6"/>
        <v>0</v>
      </c>
      <c r="R33" s="12"/>
      <c r="S33" s="81"/>
      <c r="T33" s="95"/>
      <c r="U33" s="95"/>
      <c r="V33" s="95"/>
      <c r="W33" s="95"/>
      <c r="X33" s="95"/>
      <c r="Y33" s="95"/>
      <c r="Z33" s="95"/>
      <c r="AA33" s="95"/>
      <c r="AB33" s="95"/>
      <c r="AC33" s="95"/>
      <c r="AD33" s="97">
        <f t="shared" si="5"/>
        <v>0</v>
      </c>
      <c r="AE33" s="221" t="s">
        <v>135</v>
      </c>
      <c r="AF33" s="258"/>
      <c r="AG33" s="258"/>
      <c r="AH33" s="259"/>
      <c r="AI33" s="260"/>
      <c r="AJ33" s="260"/>
      <c r="AK33" s="260"/>
      <c r="AL33" s="260"/>
      <c r="AM33" s="260"/>
    </row>
    <row r="34" spans="1:39" s="250" customFormat="1" ht="15.75" thickBot="1" x14ac:dyDescent="0.3">
      <c r="A34" s="268" t="s">
        <v>712</v>
      </c>
      <c r="B34" s="226"/>
      <c r="C34" s="226"/>
      <c r="D34" s="226"/>
      <c r="E34" s="226"/>
      <c r="F34" s="226"/>
      <c r="G34" s="226"/>
      <c r="H34" s="226"/>
      <c r="I34" s="226"/>
      <c r="J34" s="226"/>
      <c r="K34" s="226"/>
      <c r="L34" s="226"/>
      <c r="M34" s="226"/>
      <c r="N34" s="226"/>
      <c r="O34" s="227"/>
      <c r="P34" s="227"/>
      <c r="Q34" s="228"/>
      <c r="R34" s="228"/>
      <c r="S34" s="228"/>
      <c r="T34" s="228"/>
      <c r="U34" s="228"/>
      <c r="V34" s="228"/>
      <c r="W34" s="227"/>
      <c r="X34" s="229"/>
      <c r="Y34" s="229"/>
      <c r="Z34" s="229"/>
      <c r="AA34" s="229"/>
      <c r="AB34" s="226"/>
      <c r="AC34" s="226"/>
      <c r="AD34" s="229"/>
      <c r="AE34" s="229"/>
      <c r="AF34" s="229"/>
      <c r="AG34" s="229"/>
      <c r="AH34" s="229"/>
      <c r="AI34" s="229"/>
      <c r="AJ34" s="229"/>
      <c r="AK34" s="229"/>
      <c r="AL34" s="229"/>
      <c r="AM34" s="229"/>
    </row>
    <row r="35" spans="1:39" ht="57.75" thickBot="1" x14ac:dyDescent="0.3">
      <c r="A35" s="53" t="s">
        <v>659</v>
      </c>
      <c r="B35" s="235"/>
      <c r="C35" s="235"/>
      <c r="D35" s="235" t="s">
        <v>678</v>
      </c>
      <c r="E35" s="235" t="s">
        <v>676</v>
      </c>
      <c r="F35" s="236" t="s">
        <v>674</v>
      </c>
      <c r="G35" s="95"/>
      <c r="H35" s="95"/>
      <c r="I35" s="95"/>
      <c r="J35" s="95"/>
      <c r="K35" s="95"/>
      <c r="L35" s="95"/>
      <c r="M35" s="95"/>
      <c r="N35" s="95"/>
      <c r="O35" s="95"/>
      <c r="P35" s="95"/>
      <c r="Q35" s="103">
        <f t="shared" ref="Q35" si="7">SUM(G35:P35)</f>
        <v>0</v>
      </c>
      <c r="R35" s="12"/>
      <c r="S35" s="238"/>
      <c r="T35" s="238"/>
      <c r="U35" s="238"/>
      <c r="V35" s="238"/>
      <c r="W35" s="238"/>
      <c r="X35" s="238"/>
      <c r="Y35" s="238"/>
      <c r="Z35" s="238"/>
      <c r="AA35" s="238"/>
      <c r="AB35" s="238"/>
      <c r="AC35" s="238"/>
      <c r="AD35" s="238"/>
      <c r="AE35" s="238"/>
      <c r="AF35" s="258"/>
      <c r="AG35" s="258"/>
      <c r="AH35" s="259"/>
      <c r="AI35" s="260"/>
      <c r="AJ35" s="260"/>
      <c r="AK35" s="260"/>
      <c r="AL35" s="260"/>
      <c r="AM35" s="260"/>
    </row>
    <row r="36" spans="1:39" ht="43.5" thickBot="1" x14ac:dyDescent="0.3">
      <c r="A36" s="53" t="s">
        <v>659</v>
      </c>
      <c r="B36" s="239"/>
      <c r="C36" s="235"/>
      <c r="D36" s="239" t="s">
        <v>679</v>
      </c>
      <c r="E36" s="239" t="s">
        <v>677</v>
      </c>
      <c r="F36" s="236" t="s">
        <v>675</v>
      </c>
      <c r="G36" s="95">
        <v>5</v>
      </c>
      <c r="H36" s="95">
        <v>5</v>
      </c>
      <c r="I36" s="95">
        <v>5</v>
      </c>
      <c r="J36" s="95">
        <v>5</v>
      </c>
      <c r="K36" s="95">
        <v>5</v>
      </c>
      <c r="L36" s="95">
        <v>5</v>
      </c>
      <c r="M36" s="95">
        <v>5</v>
      </c>
      <c r="N36" s="95">
        <v>5</v>
      </c>
      <c r="O36" s="95">
        <v>5</v>
      </c>
      <c r="P36" s="95">
        <v>5</v>
      </c>
      <c r="Q36" s="238"/>
      <c r="R36" s="221" t="s">
        <v>680</v>
      </c>
      <c r="S36" s="238"/>
      <c r="T36" s="238"/>
      <c r="U36" s="238"/>
      <c r="V36" s="238"/>
      <c r="W36" s="238"/>
      <c r="X36" s="238"/>
      <c r="Y36" s="238"/>
      <c r="Z36" s="238"/>
      <c r="AA36" s="238"/>
      <c r="AB36" s="238"/>
      <c r="AC36" s="238"/>
      <c r="AD36" s="238"/>
      <c r="AE36" s="238"/>
      <c r="AF36" s="258"/>
      <c r="AG36" s="258"/>
      <c r="AH36" s="259"/>
      <c r="AI36" s="260"/>
      <c r="AJ36" s="260"/>
      <c r="AK36" s="260"/>
      <c r="AL36" s="260"/>
      <c r="AM36" s="260"/>
    </row>
    <row r="37" spans="1:39" ht="72" thickBot="1" x14ac:dyDescent="0.3">
      <c r="A37" s="53" t="s">
        <v>659</v>
      </c>
      <c r="B37" s="15"/>
      <c r="C37" s="235"/>
      <c r="D37" s="15" t="s">
        <v>682</v>
      </c>
      <c r="E37" s="235" t="s">
        <v>660</v>
      </c>
      <c r="F37" s="236" t="s">
        <v>661</v>
      </c>
      <c r="G37" s="242"/>
      <c r="H37" s="242"/>
      <c r="I37" s="242"/>
      <c r="J37" s="242"/>
      <c r="K37" s="242"/>
      <c r="L37" s="242"/>
      <c r="M37" s="242"/>
      <c r="N37" s="242"/>
      <c r="O37" s="242"/>
      <c r="P37" s="242"/>
      <c r="Q37" s="238"/>
      <c r="R37" s="12"/>
      <c r="S37" s="238"/>
      <c r="T37" s="238"/>
      <c r="U37" s="238"/>
      <c r="V37" s="238"/>
      <c r="W37" s="238"/>
      <c r="X37" s="238"/>
      <c r="Y37" s="238"/>
      <c r="Z37" s="238"/>
      <c r="AA37" s="238"/>
      <c r="AB37" s="238"/>
      <c r="AC37" s="238"/>
      <c r="AD37" s="238"/>
      <c r="AE37" s="238"/>
      <c r="AF37" s="258"/>
      <c r="AG37" s="258"/>
      <c r="AH37" s="259"/>
      <c r="AI37" s="260"/>
      <c r="AJ37" s="260"/>
      <c r="AK37" s="260"/>
      <c r="AL37" s="260"/>
      <c r="AM37" s="260"/>
    </row>
  </sheetData>
  <mergeCells count="3">
    <mergeCell ref="S14:AE14"/>
    <mergeCell ref="A14:R14"/>
    <mergeCell ref="AF14:AM14"/>
  </mergeCells>
  <phoneticPr fontId="8" type="noConversion"/>
  <conditionalFormatting sqref="D9">
    <cfRule type="cellIs" dxfId="5" priority="1" operator="equal">
      <formula>"ERR"</formula>
    </cfRule>
    <cfRule type="cellIs" dxfId="4" priority="2" operator="equal">
      <formula>"OK"</formula>
    </cfRule>
  </conditionalFormatting>
  <dataValidations count="5">
    <dataValidation type="list" allowBlank="1" showInputMessage="1" showErrorMessage="1" sqref="AH31:AH33 AH17:AH19 AH23:AH25 AH27:AH29 AH35:AH37" xr:uid="{2C9A02A1-CD11-44E2-BF77-2AA00494ABA4}">
      <formula1>"Primary Data,Third Party Data,Secondary Data - Calculated based on actual data,Secondary Data - Based on assumptions,Secondary Data - Extrapolation,Other evidence"</formula1>
    </dataValidation>
    <dataValidation type="list" allowBlank="1" showInputMessage="1" showErrorMessage="1" sqref="AG23:AG25 AG17:AG19 AG27:AG29 AG31:AG33 AG35:AG37" xr:uid="{B95F452E-BBCD-4620-B3B9-9575751847E0}">
      <formula1>"Taken from data management platform,Internal control spreadsheet,Direct measurement,Estimated,Adoption of assumptions (please describe),Extrapolation (please describe),Sample (please describe),Other"</formula1>
    </dataValidation>
    <dataValidation type="decimal" allowBlank="1" showInputMessage="1" showErrorMessage="1" error="Please insert a value between 0 and 1." sqref="G37:P37" xr:uid="{3991C4DD-2776-45A4-ACEB-12A7143C9A30}">
      <formula1>0</formula1>
      <formula2>1</formula2>
    </dataValidation>
    <dataValidation allowBlank="1" showInputMessage="1" showErrorMessage="1" error="Please insert a value between 0 and 1." sqref="F35:F36" xr:uid="{4EEC0360-4BC9-424A-8E3D-2A5A7F707143}"/>
    <dataValidation type="list" allowBlank="1" showInputMessage="1" showErrorMessage="1" sqref="AF17:AF19 AF23:AF25 AF27:AF29 AF31:AF33 AF35:AF37" xr:uid="{FA4A9774-D578-4BC7-AC2F-BD1E4A50607E}">
      <formula1>"To be monitored,Not monitored"</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M41"/>
  <sheetViews>
    <sheetView zoomScaleNormal="100" workbookViewId="0"/>
  </sheetViews>
  <sheetFormatPr defaultColWidth="9.140625" defaultRowHeight="14.25" x14ac:dyDescent="0.25"/>
  <cols>
    <col min="1" max="1" width="17.85546875" style="87" bestFit="1" customWidth="1"/>
    <col min="2" max="2" width="18.140625" style="87" bestFit="1" customWidth="1"/>
    <col min="3" max="3" width="15.85546875" style="87" customWidth="1"/>
    <col min="4" max="4" width="18.7109375" style="87" customWidth="1"/>
    <col min="5" max="5" width="34.28515625" style="87" customWidth="1"/>
    <col min="6" max="6" width="17.42578125" style="87" customWidth="1"/>
    <col min="7" max="7" width="12.140625" style="87" customWidth="1"/>
    <col min="8" max="16" width="10.5703125" style="87" customWidth="1"/>
    <col min="17" max="17" width="17.85546875" style="87" customWidth="1"/>
    <col min="18" max="18" width="36.7109375" style="87" customWidth="1"/>
    <col min="19" max="29" width="15.140625" style="87" customWidth="1"/>
    <col min="30" max="30" width="37.5703125" style="87" customWidth="1"/>
    <col min="31" max="31" width="54.5703125" style="87" customWidth="1"/>
    <col min="32" max="32" width="24.42578125" style="87" customWidth="1"/>
    <col min="33" max="33" width="29.42578125" style="87" customWidth="1"/>
    <col min="34" max="34" width="20.28515625" style="87" customWidth="1"/>
    <col min="35" max="35" width="13.85546875" style="87" customWidth="1"/>
    <col min="36" max="36" width="22.140625" style="87" customWidth="1"/>
    <col min="37" max="37" width="27.140625" style="87" customWidth="1"/>
    <col min="38" max="39" width="19.5703125" style="87" customWidth="1"/>
    <col min="40" max="16384" width="9.140625" style="87"/>
  </cols>
  <sheetData>
    <row r="1" spans="1:39" ht="15" x14ac:dyDescent="0.25">
      <c r="A1" s="143" t="s">
        <v>560</v>
      </c>
      <c r="B1" s="49"/>
      <c r="C1" s="49"/>
      <c r="D1" s="49"/>
      <c r="E1" s="49"/>
      <c r="F1" s="49"/>
      <c r="G1" s="49"/>
      <c r="H1" s="49"/>
    </row>
    <row r="2" spans="1:39" ht="15" customHeight="1" x14ac:dyDescent="0.25">
      <c r="A2" s="144" t="s">
        <v>115</v>
      </c>
    </row>
    <row r="3" spans="1:39" ht="15" customHeight="1" x14ac:dyDescent="0.25">
      <c r="A3" s="144" t="s">
        <v>116</v>
      </c>
    </row>
    <row r="4" spans="1:39" ht="15" thickBot="1" x14ac:dyDescent="0.3"/>
    <row r="5" spans="1:39" ht="30.75" thickBot="1" x14ac:dyDescent="0.3">
      <c r="A5" s="145" t="s">
        <v>117</v>
      </c>
      <c r="B5" s="146" t="s">
        <v>561</v>
      </c>
      <c r="C5" s="13" t="s">
        <v>576</v>
      </c>
      <c r="D5" s="147"/>
      <c r="E5" s="147"/>
      <c r="F5" s="147"/>
      <c r="G5" s="147"/>
    </row>
    <row r="6" spans="1:39" ht="19.5" thickBot="1" x14ac:dyDescent="0.3">
      <c r="A6" s="148" t="s">
        <v>136</v>
      </c>
      <c r="B6" s="149">
        <f>SUMIF($A$20:$A$38,A6,$AD$20:$AD$38)</f>
        <v>0</v>
      </c>
      <c r="C6" s="141"/>
    </row>
    <row r="7" spans="1:39" ht="19.5" thickBot="1" x14ac:dyDescent="0.3">
      <c r="A7" s="148" t="s">
        <v>137</v>
      </c>
      <c r="B7" s="149">
        <f>SUMIF($A$20:$A$38,A7,$AD$20:$AD$38)</f>
        <v>0</v>
      </c>
      <c r="C7" s="141"/>
    </row>
    <row r="8" spans="1:39" ht="19.5" thickBot="1" x14ac:dyDescent="0.3">
      <c r="A8" s="148" t="s">
        <v>139</v>
      </c>
      <c r="B8" s="149">
        <f>SUMIF($A$20:$A$38,A8,$AD$20:$AD$38)</f>
        <v>0</v>
      </c>
      <c r="C8" s="141"/>
    </row>
    <row r="9" spans="1:39" ht="19.5" thickBot="1" x14ac:dyDescent="0.3">
      <c r="A9" s="148" t="s">
        <v>138</v>
      </c>
      <c r="B9" s="149">
        <f>SUMIF($A$20:$A$38,A9,$AD$20:$AD$38)</f>
        <v>0</v>
      </c>
      <c r="C9" s="141"/>
      <c r="F9" s="150"/>
    </row>
    <row r="10" spans="1:39" ht="48.75" thickBot="1" x14ac:dyDescent="0.3">
      <c r="A10" s="151" t="s">
        <v>122</v>
      </c>
      <c r="B10" s="152">
        <f>SUM(B6:B9)</f>
        <v>0</v>
      </c>
      <c r="C10" s="141" t="s">
        <v>520</v>
      </c>
      <c r="D10" s="114" t="str">
        <f>+ IF(AND(ROUND(B10,2)=ROUND(AD21,2),ROUND(B10,2)=ROUND(SUM(T21:AC21),2)),"OK","ERR")</f>
        <v>OK</v>
      </c>
    </row>
    <row r="11" spans="1:39" ht="15" x14ac:dyDescent="0.25">
      <c r="A11" s="160"/>
      <c r="B11" s="161"/>
    </row>
    <row r="12" spans="1:39" ht="15" x14ac:dyDescent="0.25">
      <c r="A12" s="143" t="s">
        <v>140</v>
      </c>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row>
    <row r="14" spans="1:39" s="37" customFormat="1" ht="15.75" thickBot="1" x14ac:dyDescent="0.3">
      <c r="A14" s="288" t="s">
        <v>700</v>
      </c>
      <c r="B14" s="284"/>
      <c r="C14" s="284"/>
      <c r="D14" s="284"/>
      <c r="E14" s="284"/>
      <c r="F14" s="284"/>
      <c r="G14" s="284"/>
      <c r="H14" s="284"/>
      <c r="I14" s="284"/>
      <c r="J14" s="284"/>
      <c r="K14" s="284"/>
      <c r="L14" s="284"/>
      <c r="M14" s="284"/>
      <c r="N14" s="284"/>
      <c r="O14" s="284"/>
      <c r="P14" s="284"/>
      <c r="Q14" s="289"/>
      <c r="R14" s="288" t="s">
        <v>562</v>
      </c>
      <c r="S14" s="284"/>
      <c r="T14" s="284"/>
      <c r="U14" s="284"/>
      <c r="V14" s="284"/>
      <c r="W14" s="284"/>
      <c r="X14" s="284"/>
      <c r="Y14" s="284"/>
      <c r="Z14" s="284"/>
      <c r="AA14" s="284"/>
      <c r="AB14" s="284"/>
      <c r="AC14" s="284"/>
      <c r="AD14" s="284"/>
      <c r="AE14" s="284"/>
      <c r="AF14" s="286" t="s">
        <v>432</v>
      </c>
      <c r="AG14" s="287"/>
      <c r="AH14" s="287"/>
      <c r="AI14" s="287"/>
      <c r="AJ14" s="287"/>
      <c r="AK14" s="287"/>
      <c r="AL14" s="287"/>
      <c r="AM14" s="287"/>
    </row>
    <row r="15" spans="1:39" s="37" customFormat="1" ht="62.25" customHeight="1" thickBot="1" x14ac:dyDescent="0.3">
      <c r="A15" s="13" t="s">
        <v>701</v>
      </c>
      <c r="B15" s="16" t="s">
        <v>124</v>
      </c>
      <c r="C15" s="16" t="s">
        <v>92</v>
      </c>
      <c r="D15" s="16" t="s">
        <v>687</v>
      </c>
      <c r="E15" s="16" t="s">
        <v>125</v>
      </c>
      <c r="F15" s="257" t="s">
        <v>686</v>
      </c>
      <c r="G15" s="13" t="s">
        <v>105</v>
      </c>
      <c r="H15" s="13" t="s">
        <v>106</v>
      </c>
      <c r="I15" s="13" t="s">
        <v>107</v>
      </c>
      <c r="J15" s="13" t="s">
        <v>108</v>
      </c>
      <c r="K15" s="13" t="s">
        <v>109</v>
      </c>
      <c r="L15" s="13" t="s">
        <v>110</v>
      </c>
      <c r="M15" s="13" t="s">
        <v>111</v>
      </c>
      <c r="N15" s="13" t="s">
        <v>112</v>
      </c>
      <c r="O15" s="13" t="s">
        <v>113</v>
      </c>
      <c r="P15" s="13" t="s">
        <v>114</v>
      </c>
      <c r="Q15" s="13" t="s">
        <v>96</v>
      </c>
      <c r="R15" s="13" t="s">
        <v>703</v>
      </c>
      <c r="S15" s="13" t="s">
        <v>127</v>
      </c>
      <c r="T15" s="40" t="s">
        <v>563</v>
      </c>
      <c r="U15" s="40" t="s">
        <v>564</v>
      </c>
      <c r="V15" s="40" t="s">
        <v>565</v>
      </c>
      <c r="W15" s="40" t="s">
        <v>566</v>
      </c>
      <c r="X15" s="40" t="s">
        <v>567</v>
      </c>
      <c r="Y15" s="40" t="s">
        <v>568</v>
      </c>
      <c r="Z15" s="40" t="s">
        <v>569</v>
      </c>
      <c r="AA15" s="40" t="s">
        <v>570</v>
      </c>
      <c r="AB15" s="40" t="s">
        <v>571</v>
      </c>
      <c r="AC15" s="40" t="s">
        <v>572</v>
      </c>
      <c r="AD15" s="40" t="s">
        <v>128</v>
      </c>
      <c r="AE15" s="13" t="s">
        <v>702</v>
      </c>
      <c r="AF15" s="40" t="s">
        <v>696</v>
      </c>
      <c r="AG15" s="40" t="s">
        <v>697</v>
      </c>
      <c r="AH15" s="40" t="s">
        <v>132</v>
      </c>
      <c r="AI15" s="40" t="s">
        <v>129</v>
      </c>
      <c r="AJ15" s="40" t="s">
        <v>698</v>
      </c>
      <c r="AK15" s="40" t="s">
        <v>699</v>
      </c>
      <c r="AL15" s="40" t="s">
        <v>130</v>
      </c>
      <c r="AM15" s="40" t="s">
        <v>131</v>
      </c>
    </row>
    <row r="16" spans="1:39" s="55" customFormat="1" ht="15.75" thickBot="1" x14ac:dyDescent="0.3">
      <c r="A16" s="268" t="s">
        <v>658</v>
      </c>
      <c r="B16" s="17"/>
      <c r="C16" s="17"/>
      <c r="D16" s="17"/>
      <c r="E16" s="17"/>
      <c r="F16" s="17"/>
      <c r="G16" s="17"/>
      <c r="H16" s="17"/>
      <c r="I16" s="17"/>
      <c r="J16" s="17"/>
      <c r="K16" s="17"/>
      <c r="L16" s="17"/>
      <c r="M16" s="17"/>
      <c r="N16" s="17"/>
      <c r="O16" s="17"/>
      <c r="P16" s="17"/>
      <c r="Q16" s="10"/>
      <c r="R16" s="17"/>
      <c r="S16" s="17"/>
      <c r="T16" s="17"/>
      <c r="U16" s="17"/>
      <c r="V16" s="17"/>
      <c r="W16" s="17"/>
      <c r="X16" s="17"/>
      <c r="Y16" s="10"/>
      <c r="Z16" s="10"/>
      <c r="AA16" s="10"/>
      <c r="AB16" s="17"/>
      <c r="AC16" s="17"/>
      <c r="AD16" s="10"/>
      <c r="AE16" s="10"/>
      <c r="AF16" s="10"/>
      <c r="AG16" s="10"/>
      <c r="AH16" s="17"/>
      <c r="AI16" s="17"/>
      <c r="AJ16" s="10"/>
      <c r="AK16" s="17"/>
      <c r="AL16" s="10"/>
      <c r="AM16" s="17"/>
    </row>
    <row r="17" spans="1:39" s="36" customFormat="1" ht="86.25" thickBot="1" x14ac:dyDescent="0.25">
      <c r="A17" s="82"/>
      <c r="B17" s="53"/>
      <c r="C17" s="53"/>
      <c r="D17" s="15" t="s">
        <v>692</v>
      </c>
      <c r="E17" s="256" t="s">
        <v>688</v>
      </c>
      <c r="F17" s="243" t="s">
        <v>688</v>
      </c>
      <c r="G17" s="95"/>
      <c r="H17" s="95"/>
      <c r="I17" s="95"/>
      <c r="J17" s="95"/>
      <c r="K17" s="95"/>
      <c r="L17" s="95"/>
      <c r="M17" s="95"/>
      <c r="N17" s="95"/>
      <c r="O17" s="95"/>
      <c r="P17" s="95"/>
      <c r="Q17" s="103">
        <f>SUM(G17:P17)</f>
        <v>0</v>
      </c>
      <c r="R17" s="221" t="s">
        <v>640</v>
      </c>
      <c r="S17" s="80"/>
      <c r="T17" s="80"/>
      <c r="U17" s="80"/>
      <c r="V17" s="80"/>
      <c r="W17" s="80"/>
      <c r="X17" s="80"/>
      <c r="Y17" s="80"/>
      <c r="Z17" s="80"/>
      <c r="AA17" s="80"/>
      <c r="AB17" s="80"/>
      <c r="AC17" s="80"/>
      <c r="AD17" s="80"/>
      <c r="AE17" s="221"/>
      <c r="AF17" s="258"/>
      <c r="AG17" s="258"/>
      <c r="AH17" s="259"/>
      <c r="AI17" s="260"/>
      <c r="AJ17" s="260"/>
      <c r="AK17" s="260"/>
      <c r="AL17" s="260"/>
      <c r="AM17" s="260"/>
    </row>
    <row r="18" spans="1:39" s="36" customFormat="1" ht="86.25" thickBot="1" x14ac:dyDescent="0.25">
      <c r="A18" s="82"/>
      <c r="B18" s="88"/>
      <c r="C18" s="88"/>
      <c r="D18" s="15" t="s">
        <v>693</v>
      </c>
      <c r="E18" s="256" t="s">
        <v>688</v>
      </c>
      <c r="F18" s="243" t="s">
        <v>688</v>
      </c>
      <c r="G18" s="96"/>
      <c r="H18" s="96"/>
      <c r="I18" s="96"/>
      <c r="J18" s="96"/>
      <c r="K18" s="96"/>
      <c r="L18" s="96"/>
      <c r="M18" s="96"/>
      <c r="N18" s="96"/>
      <c r="O18" s="96"/>
      <c r="P18" s="96"/>
      <c r="Q18" s="103">
        <f>SUM(G18:P18)</f>
        <v>0</v>
      </c>
      <c r="R18" s="221" t="s">
        <v>640</v>
      </c>
      <c r="S18" s="80"/>
      <c r="T18" s="80"/>
      <c r="U18" s="80"/>
      <c r="V18" s="80"/>
      <c r="W18" s="80"/>
      <c r="X18" s="80"/>
      <c r="Y18" s="80"/>
      <c r="Z18" s="80"/>
      <c r="AA18" s="80"/>
      <c r="AB18" s="80"/>
      <c r="AC18" s="80"/>
      <c r="AD18" s="80"/>
      <c r="AE18" s="221"/>
      <c r="AF18" s="258"/>
      <c r="AG18" s="258"/>
      <c r="AH18" s="259"/>
      <c r="AI18" s="260"/>
      <c r="AJ18" s="260"/>
      <c r="AK18" s="260"/>
      <c r="AL18" s="260"/>
      <c r="AM18" s="260"/>
    </row>
    <row r="19" spans="1:39" s="36" customFormat="1" ht="86.25" thickBot="1" x14ac:dyDescent="0.25">
      <c r="A19" s="82"/>
      <c r="B19" s="88"/>
      <c r="C19" s="88"/>
      <c r="D19" s="15" t="s">
        <v>694</v>
      </c>
      <c r="E19" s="256" t="s">
        <v>688</v>
      </c>
      <c r="F19" s="243" t="s">
        <v>688</v>
      </c>
      <c r="G19" s="96"/>
      <c r="H19" s="96"/>
      <c r="I19" s="96"/>
      <c r="J19" s="96"/>
      <c r="K19" s="96"/>
      <c r="L19" s="96"/>
      <c r="M19" s="96"/>
      <c r="N19" s="96"/>
      <c r="O19" s="96"/>
      <c r="P19" s="96"/>
      <c r="Q19" s="103">
        <f>SUM(G19:P19)</f>
        <v>0</v>
      </c>
      <c r="R19" s="221" t="s">
        <v>640</v>
      </c>
      <c r="S19" s="80"/>
      <c r="T19" s="80"/>
      <c r="U19" s="80"/>
      <c r="V19" s="80"/>
      <c r="W19" s="80"/>
      <c r="X19" s="80"/>
      <c r="Y19" s="80"/>
      <c r="Z19" s="80"/>
      <c r="AA19" s="80"/>
      <c r="AB19" s="80"/>
      <c r="AC19" s="80"/>
      <c r="AD19" s="80"/>
      <c r="AE19" s="221"/>
      <c r="AF19" s="258"/>
      <c r="AG19" s="258"/>
      <c r="AH19" s="259"/>
      <c r="AI19" s="260"/>
      <c r="AJ19" s="260"/>
      <c r="AK19" s="260"/>
      <c r="AL19" s="260"/>
      <c r="AM19" s="260"/>
    </row>
    <row r="20" spans="1:39" s="153" customFormat="1" ht="15.75" thickBot="1" x14ac:dyDescent="0.3">
      <c r="A20" s="268" t="s">
        <v>141</v>
      </c>
      <c r="B20" s="17"/>
      <c r="C20" s="17"/>
      <c r="D20" s="17"/>
      <c r="E20" s="17"/>
      <c r="F20" s="17"/>
      <c r="G20" s="17"/>
      <c r="H20" s="17"/>
      <c r="I20" s="17"/>
      <c r="J20" s="17"/>
      <c r="K20" s="17"/>
      <c r="L20" s="17"/>
      <c r="M20" s="17"/>
      <c r="N20" s="17"/>
      <c r="O20" s="17"/>
      <c r="P20" s="17"/>
      <c r="Q20" s="10"/>
      <c r="R20" s="17"/>
      <c r="S20" s="17"/>
      <c r="T20" s="17"/>
      <c r="U20" s="17"/>
      <c r="V20" s="17"/>
      <c r="W20" s="17"/>
      <c r="X20" s="17"/>
      <c r="Y20" s="10"/>
      <c r="Z20" s="10"/>
      <c r="AA20" s="10"/>
      <c r="AB20" s="17"/>
      <c r="AC20" s="17"/>
      <c r="AD20" s="10"/>
      <c r="AE20" s="251"/>
      <c r="AF20" s="10"/>
      <c r="AG20" s="10"/>
      <c r="AH20" s="10"/>
      <c r="AI20" s="10"/>
      <c r="AJ20" s="10"/>
      <c r="AK20" s="10"/>
      <c r="AL20" s="10"/>
      <c r="AM20" s="17"/>
    </row>
    <row r="21" spans="1:39" s="37" customFormat="1" ht="79.5" customHeight="1" thickBot="1" x14ac:dyDescent="0.3">
      <c r="A21" s="15" t="s">
        <v>142</v>
      </c>
      <c r="B21" s="56"/>
      <c r="C21" s="56"/>
      <c r="D21" s="56"/>
      <c r="E21" s="56"/>
      <c r="F21" s="56"/>
      <c r="G21" s="80"/>
      <c r="H21" s="80"/>
      <c r="I21" s="80"/>
      <c r="J21" s="80"/>
      <c r="K21" s="80"/>
      <c r="L21" s="80"/>
      <c r="M21" s="80"/>
      <c r="N21" s="80"/>
      <c r="O21" s="80"/>
      <c r="P21" s="80"/>
      <c r="Q21" s="80"/>
      <c r="R21" s="56"/>
      <c r="S21" s="80"/>
      <c r="T21" s="97">
        <f t="shared" ref="T21:AD21" si="0">SUM(T22:T38)</f>
        <v>0</v>
      </c>
      <c r="U21" s="97">
        <f t="shared" si="0"/>
        <v>0</v>
      </c>
      <c r="V21" s="97">
        <f>SUM(V22:V38)</f>
        <v>0</v>
      </c>
      <c r="W21" s="97">
        <f t="shared" si="0"/>
        <v>0</v>
      </c>
      <c r="X21" s="97">
        <f t="shared" si="0"/>
        <v>0</v>
      </c>
      <c r="Y21" s="97">
        <f t="shared" si="0"/>
        <v>0</v>
      </c>
      <c r="Z21" s="97">
        <f t="shared" si="0"/>
        <v>0</v>
      </c>
      <c r="AA21" s="97">
        <f t="shared" si="0"/>
        <v>0</v>
      </c>
      <c r="AB21" s="97">
        <f t="shared" si="0"/>
        <v>0</v>
      </c>
      <c r="AC21" s="97">
        <f t="shared" si="0"/>
        <v>0</v>
      </c>
      <c r="AD21" s="97">
        <f t="shared" si="0"/>
        <v>0</v>
      </c>
      <c r="AE21" s="221" t="s">
        <v>662</v>
      </c>
      <c r="AF21" s="80"/>
      <c r="AG21" s="80"/>
      <c r="AH21" s="80"/>
      <c r="AI21" s="80"/>
      <c r="AJ21" s="80"/>
      <c r="AK21" s="80"/>
      <c r="AL21" s="80"/>
      <c r="AM21" s="80"/>
    </row>
    <row r="22" spans="1:39" ht="15.75" thickBot="1" x14ac:dyDescent="0.3">
      <c r="A22" s="268" t="s">
        <v>708</v>
      </c>
      <c r="B22" s="17"/>
      <c r="C22" s="17"/>
      <c r="D22" s="17"/>
      <c r="E22" s="17"/>
      <c r="F22" s="17"/>
      <c r="G22" s="79"/>
      <c r="H22" s="79"/>
      <c r="I22" s="79"/>
      <c r="J22" s="79"/>
      <c r="K22" s="79"/>
      <c r="L22" s="79"/>
      <c r="M22" s="79"/>
      <c r="N22" s="79"/>
      <c r="O22" s="79"/>
      <c r="P22" s="79"/>
      <c r="Q22" s="78"/>
      <c r="R22" s="54"/>
      <c r="S22" s="79"/>
      <c r="T22" s="78"/>
      <c r="U22" s="78"/>
      <c r="V22" s="78"/>
      <c r="W22" s="78"/>
      <c r="X22" s="78"/>
      <c r="Y22" s="78"/>
      <c r="Z22" s="78"/>
      <c r="AA22" s="78"/>
      <c r="AB22" s="78"/>
      <c r="AC22" s="78"/>
      <c r="AD22" s="98"/>
      <c r="AE22" s="251"/>
      <c r="AF22" s="17"/>
      <c r="AG22" s="17"/>
      <c r="AH22" s="17"/>
      <c r="AI22" s="17"/>
      <c r="AJ22" s="17"/>
      <c r="AK22" s="17"/>
      <c r="AL22" s="17"/>
      <c r="AM22" s="17"/>
    </row>
    <row r="23" spans="1:39" ht="29.25" thickBot="1" x14ac:dyDescent="0.3">
      <c r="A23" s="15" t="s">
        <v>24</v>
      </c>
      <c r="B23" s="15"/>
      <c r="C23" s="53"/>
      <c r="D23" s="85"/>
      <c r="E23" s="85"/>
      <c r="F23" s="243" t="s">
        <v>688</v>
      </c>
      <c r="G23" s="95"/>
      <c r="H23" s="95"/>
      <c r="I23" s="95"/>
      <c r="J23" s="95"/>
      <c r="K23" s="95"/>
      <c r="L23" s="95"/>
      <c r="M23" s="95"/>
      <c r="N23" s="95"/>
      <c r="O23" s="95"/>
      <c r="P23" s="95"/>
      <c r="Q23" s="103">
        <f t="shared" ref="Q23:Q25" si="1">SUM(G23:P23)</f>
        <v>0</v>
      </c>
      <c r="R23" s="12"/>
      <c r="S23" s="81"/>
      <c r="T23" s="95"/>
      <c r="U23" s="95"/>
      <c r="V23" s="95"/>
      <c r="W23" s="95"/>
      <c r="X23" s="95"/>
      <c r="Y23" s="95"/>
      <c r="Z23" s="95"/>
      <c r="AA23" s="95"/>
      <c r="AB23" s="95"/>
      <c r="AC23" s="95"/>
      <c r="AD23" s="97">
        <f>SUM(T23:AC23)</f>
        <v>0</v>
      </c>
      <c r="AE23" s="221" t="s">
        <v>143</v>
      </c>
      <c r="AF23" s="258"/>
      <c r="AG23" s="258"/>
      <c r="AH23" s="259"/>
      <c r="AI23" s="260"/>
      <c r="AJ23" s="260"/>
      <c r="AK23" s="260"/>
      <c r="AL23" s="260"/>
      <c r="AM23" s="260"/>
    </row>
    <row r="24" spans="1:39" ht="29.25" thickBot="1" x14ac:dyDescent="0.3">
      <c r="A24" s="15" t="s">
        <v>24</v>
      </c>
      <c r="B24" s="15"/>
      <c r="C24" s="53"/>
      <c r="D24" s="85"/>
      <c r="E24" s="85"/>
      <c r="F24" s="243" t="s">
        <v>688</v>
      </c>
      <c r="G24" s="95"/>
      <c r="H24" s="95"/>
      <c r="I24" s="95"/>
      <c r="J24" s="95"/>
      <c r="K24" s="95"/>
      <c r="L24" s="95"/>
      <c r="M24" s="95"/>
      <c r="N24" s="95"/>
      <c r="O24" s="95"/>
      <c r="P24" s="95"/>
      <c r="Q24" s="103">
        <f t="shared" si="1"/>
        <v>0</v>
      </c>
      <c r="R24" s="12"/>
      <c r="S24" s="81"/>
      <c r="T24" s="95"/>
      <c r="U24" s="95"/>
      <c r="V24" s="95"/>
      <c r="W24" s="95"/>
      <c r="X24" s="95"/>
      <c r="Y24" s="95"/>
      <c r="Z24" s="95"/>
      <c r="AA24" s="95"/>
      <c r="AB24" s="95"/>
      <c r="AC24" s="95"/>
      <c r="AD24" s="97">
        <f>SUM(T24:AC24)</f>
        <v>0</v>
      </c>
      <c r="AE24" s="221" t="s">
        <v>143</v>
      </c>
      <c r="AF24" s="258"/>
      <c r="AG24" s="258"/>
      <c r="AH24" s="259"/>
      <c r="AI24" s="260"/>
      <c r="AJ24" s="260"/>
      <c r="AK24" s="260"/>
      <c r="AL24" s="260"/>
      <c r="AM24" s="260"/>
    </row>
    <row r="25" spans="1:39" ht="29.25" thickBot="1" x14ac:dyDescent="0.3">
      <c r="A25" s="15" t="s">
        <v>24</v>
      </c>
      <c r="B25" s="15"/>
      <c r="C25" s="53"/>
      <c r="D25" s="85"/>
      <c r="E25" s="85"/>
      <c r="F25" s="243" t="s">
        <v>688</v>
      </c>
      <c r="G25" s="95"/>
      <c r="H25" s="95"/>
      <c r="I25" s="95"/>
      <c r="J25" s="95"/>
      <c r="K25" s="95"/>
      <c r="L25" s="95"/>
      <c r="M25" s="95"/>
      <c r="N25" s="95"/>
      <c r="O25" s="95"/>
      <c r="P25" s="95"/>
      <c r="Q25" s="103">
        <f t="shared" si="1"/>
        <v>0</v>
      </c>
      <c r="R25" s="12"/>
      <c r="S25" s="81"/>
      <c r="T25" s="95"/>
      <c r="U25" s="95"/>
      <c r="V25" s="95"/>
      <c r="W25" s="95"/>
      <c r="X25" s="95"/>
      <c r="Y25" s="95"/>
      <c r="Z25" s="95"/>
      <c r="AA25" s="95"/>
      <c r="AB25" s="95"/>
      <c r="AC25" s="95"/>
      <c r="AD25" s="97">
        <f>SUM(T25:AC25)</f>
        <v>0</v>
      </c>
      <c r="AE25" s="221" t="s">
        <v>143</v>
      </c>
      <c r="AF25" s="258"/>
      <c r="AG25" s="258"/>
      <c r="AH25" s="259"/>
      <c r="AI25" s="260"/>
      <c r="AJ25" s="260"/>
      <c r="AK25" s="260"/>
      <c r="AL25" s="260"/>
      <c r="AM25" s="260"/>
    </row>
    <row r="26" spans="1:39" ht="15.75" thickBot="1" x14ac:dyDescent="0.3">
      <c r="A26" s="268" t="s">
        <v>709</v>
      </c>
      <c r="B26" s="17"/>
      <c r="C26" s="17"/>
      <c r="D26" s="17"/>
      <c r="E26" s="17"/>
      <c r="F26" s="17"/>
      <c r="G26" s="79"/>
      <c r="H26" s="79"/>
      <c r="I26" s="79"/>
      <c r="J26" s="79"/>
      <c r="K26" s="79"/>
      <c r="L26" s="79"/>
      <c r="M26" s="79"/>
      <c r="N26" s="79"/>
      <c r="O26" s="79"/>
      <c r="P26" s="79"/>
      <c r="Q26" s="98"/>
      <c r="R26" s="54"/>
      <c r="S26" s="79"/>
      <c r="T26" s="79"/>
      <c r="U26" s="79"/>
      <c r="V26" s="79"/>
      <c r="W26" s="79"/>
      <c r="X26" s="79"/>
      <c r="Y26" s="79"/>
      <c r="Z26" s="79"/>
      <c r="AA26" s="79"/>
      <c r="AB26" s="79"/>
      <c r="AC26" s="79"/>
      <c r="AD26" s="99"/>
      <c r="AE26" s="251"/>
      <c r="AF26" s="17"/>
      <c r="AG26" s="17"/>
      <c r="AH26" s="17"/>
      <c r="AI26" s="17"/>
      <c r="AJ26" s="17"/>
      <c r="AK26" s="17"/>
      <c r="AL26" s="17"/>
      <c r="AM26" s="17"/>
    </row>
    <row r="27" spans="1:39" ht="29.25" thickBot="1" x14ac:dyDescent="0.3">
      <c r="A27" s="15" t="s">
        <v>26</v>
      </c>
      <c r="B27" s="15"/>
      <c r="C27" s="53"/>
      <c r="D27" s="86"/>
      <c r="E27" s="86"/>
      <c r="F27" s="243" t="s">
        <v>688</v>
      </c>
      <c r="G27" s="95"/>
      <c r="H27" s="95"/>
      <c r="I27" s="95"/>
      <c r="J27" s="95"/>
      <c r="K27" s="95"/>
      <c r="L27" s="95"/>
      <c r="M27" s="95"/>
      <c r="N27" s="95"/>
      <c r="O27" s="95"/>
      <c r="P27" s="95"/>
      <c r="Q27" s="103">
        <f t="shared" ref="Q27" si="2">SUM(G27:P27)</f>
        <v>0</v>
      </c>
      <c r="R27" s="12"/>
      <c r="S27" s="81"/>
      <c r="T27" s="95"/>
      <c r="U27" s="95"/>
      <c r="V27" s="95"/>
      <c r="W27" s="95"/>
      <c r="X27" s="95"/>
      <c r="Y27" s="95"/>
      <c r="Z27" s="95"/>
      <c r="AA27" s="95"/>
      <c r="AB27" s="95"/>
      <c r="AC27" s="95"/>
      <c r="AD27" s="97">
        <f>SUM(T27:AC27)</f>
        <v>0</v>
      </c>
      <c r="AE27" s="221" t="s">
        <v>143</v>
      </c>
      <c r="AF27" s="258"/>
      <c r="AG27" s="258"/>
      <c r="AH27" s="259"/>
      <c r="AI27" s="260"/>
      <c r="AJ27" s="260"/>
      <c r="AK27" s="260"/>
      <c r="AL27" s="260"/>
      <c r="AM27" s="260"/>
    </row>
    <row r="28" spans="1:39" ht="29.25" thickBot="1" x14ac:dyDescent="0.3">
      <c r="A28" s="15" t="s">
        <v>26</v>
      </c>
      <c r="B28" s="15"/>
      <c r="C28" s="53"/>
      <c r="D28" s="86"/>
      <c r="E28" s="86"/>
      <c r="F28" s="243" t="s">
        <v>688</v>
      </c>
      <c r="G28" s="95"/>
      <c r="H28" s="95"/>
      <c r="I28" s="95"/>
      <c r="J28" s="95"/>
      <c r="K28" s="95"/>
      <c r="L28" s="95"/>
      <c r="M28" s="95"/>
      <c r="N28" s="95"/>
      <c r="O28" s="95"/>
      <c r="P28" s="95"/>
      <c r="Q28" s="103">
        <f t="shared" ref="Q28:Q39" si="3">SUM(G28:P28)</f>
        <v>0</v>
      </c>
      <c r="R28" s="12"/>
      <c r="S28" s="81"/>
      <c r="T28" s="95"/>
      <c r="U28" s="95"/>
      <c r="V28" s="95"/>
      <c r="W28" s="95"/>
      <c r="X28" s="95"/>
      <c r="Y28" s="95"/>
      <c r="Z28" s="95"/>
      <c r="AA28" s="95"/>
      <c r="AB28" s="95"/>
      <c r="AC28" s="95"/>
      <c r="AD28" s="97">
        <f t="shared" ref="AD28:AD29" si="4">SUM(T28:AC28)</f>
        <v>0</v>
      </c>
      <c r="AE28" s="221" t="s">
        <v>143</v>
      </c>
      <c r="AF28" s="258"/>
      <c r="AG28" s="258"/>
      <c r="AH28" s="259"/>
      <c r="AI28" s="260"/>
      <c r="AJ28" s="260"/>
      <c r="AK28" s="260"/>
      <c r="AL28" s="260"/>
      <c r="AM28" s="260"/>
    </row>
    <row r="29" spans="1:39" ht="43.5" customHeight="1" thickBot="1" x14ac:dyDescent="0.3">
      <c r="A29" s="15" t="s">
        <v>26</v>
      </c>
      <c r="B29" s="15"/>
      <c r="C29" s="53"/>
      <c r="D29" s="86"/>
      <c r="E29" s="86"/>
      <c r="F29" s="243" t="s">
        <v>688</v>
      </c>
      <c r="G29" s="95"/>
      <c r="H29" s="95"/>
      <c r="I29" s="95"/>
      <c r="J29" s="95"/>
      <c r="K29" s="95"/>
      <c r="L29" s="95"/>
      <c r="M29" s="95"/>
      <c r="N29" s="95"/>
      <c r="O29" s="95"/>
      <c r="P29" s="95"/>
      <c r="Q29" s="103">
        <f t="shared" si="3"/>
        <v>0</v>
      </c>
      <c r="R29" s="12"/>
      <c r="S29" s="81"/>
      <c r="T29" s="95"/>
      <c r="U29" s="95"/>
      <c r="V29" s="95"/>
      <c r="W29" s="95"/>
      <c r="X29" s="95"/>
      <c r="Y29" s="95"/>
      <c r="Z29" s="95"/>
      <c r="AA29" s="95"/>
      <c r="AB29" s="95"/>
      <c r="AC29" s="95"/>
      <c r="AD29" s="97">
        <f t="shared" si="4"/>
        <v>0</v>
      </c>
      <c r="AE29" s="221" t="s">
        <v>143</v>
      </c>
      <c r="AF29" s="258"/>
      <c r="AG29" s="258"/>
      <c r="AH29" s="259"/>
      <c r="AI29" s="260"/>
      <c r="AJ29" s="260"/>
      <c r="AK29" s="260"/>
      <c r="AL29" s="260"/>
      <c r="AM29" s="260"/>
    </row>
    <row r="30" spans="1:39" ht="15.75" thickBot="1" x14ac:dyDescent="0.3">
      <c r="A30" s="268" t="s">
        <v>710</v>
      </c>
      <c r="B30" s="17"/>
      <c r="C30" s="17"/>
      <c r="D30" s="17"/>
      <c r="E30" s="17"/>
      <c r="F30" s="17"/>
      <c r="G30" s="79"/>
      <c r="H30" s="79"/>
      <c r="I30" s="79"/>
      <c r="J30" s="79"/>
      <c r="K30" s="79"/>
      <c r="L30" s="79"/>
      <c r="M30" s="79"/>
      <c r="N30" s="79"/>
      <c r="O30" s="79"/>
      <c r="P30" s="79"/>
      <c r="Q30" s="98"/>
      <c r="R30" s="54"/>
      <c r="S30" s="79"/>
      <c r="T30" s="79"/>
      <c r="U30" s="79"/>
      <c r="V30" s="79"/>
      <c r="W30" s="79"/>
      <c r="X30" s="79"/>
      <c r="Y30" s="79"/>
      <c r="Z30" s="79"/>
      <c r="AA30" s="79"/>
      <c r="AB30" s="79"/>
      <c r="AC30" s="79"/>
      <c r="AD30" s="99"/>
      <c r="AE30" s="251"/>
      <c r="AF30" s="17"/>
      <c r="AG30" s="17"/>
      <c r="AH30" s="17"/>
      <c r="AI30" s="17"/>
      <c r="AJ30" s="17"/>
      <c r="AK30" s="17"/>
      <c r="AL30" s="17"/>
      <c r="AM30" s="17"/>
    </row>
    <row r="31" spans="1:39" ht="29.25" thickBot="1" x14ac:dyDescent="0.3">
      <c r="A31" s="15" t="s">
        <v>27</v>
      </c>
      <c r="B31" s="15"/>
      <c r="C31" s="53"/>
      <c r="D31" s="86"/>
      <c r="E31" s="86"/>
      <c r="F31" s="243" t="s">
        <v>688</v>
      </c>
      <c r="G31" s="95"/>
      <c r="H31" s="95"/>
      <c r="I31" s="95"/>
      <c r="J31" s="95"/>
      <c r="K31" s="95"/>
      <c r="L31" s="95"/>
      <c r="M31" s="95"/>
      <c r="N31" s="95"/>
      <c r="O31" s="95"/>
      <c r="P31" s="95"/>
      <c r="Q31" s="103">
        <f t="shared" si="3"/>
        <v>0</v>
      </c>
      <c r="R31" s="12"/>
      <c r="S31" s="81"/>
      <c r="T31" s="95"/>
      <c r="U31" s="95"/>
      <c r="V31" s="95"/>
      <c r="W31" s="95"/>
      <c r="X31" s="95"/>
      <c r="Y31" s="95"/>
      <c r="Z31" s="95"/>
      <c r="AA31" s="95"/>
      <c r="AB31" s="95"/>
      <c r="AC31" s="95"/>
      <c r="AD31" s="97">
        <f t="shared" ref="AD31:AD33" si="5">SUM(T31:AC31)</f>
        <v>0</v>
      </c>
      <c r="AE31" s="221" t="s">
        <v>143</v>
      </c>
      <c r="AF31" s="258"/>
      <c r="AG31" s="258"/>
      <c r="AH31" s="259"/>
      <c r="AI31" s="260"/>
      <c r="AJ31" s="260"/>
      <c r="AK31" s="260"/>
      <c r="AL31" s="260"/>
      <c r="AM31" s="260"/>
    </row>
    <row r="32" spans="1:39" ht="29.25" thickBot="1" x14ac:dyDescent="0.3">
      <c r="A32" s="15" t="s">
        <v>27</v>
      </c>
      <c r="B32" s="15"/>
      <c r="C32" s="53"/>
      <c r="D32" s="86"/>
      <c r="E32" s="86"/>
      <c r="F32" s="243" t="s">
        <v>688</v>
      </c>
      <c r="G32" s="95"/>
      <c r="H32" s="95"/>
      <c r="I32" s="95"/>
      <c r="J32" s="95"/>
      <c r="K32" s="95"/>
      <c r="L32" s="95"/>
      <c r="M32" s="95"/>
      <c r="N32" s="95"/>
      <c r="O32" s="95"/>
      <c r="P32" s="95"/>
      <c r="Q32" s="103">
        <f t="shared" si="3"/>
        <v>0</v>
      </c>
      <c r="R32" s="12"/>
      <c r="S32" s="81"/>
      <c r="T32" s="95"/>
      <c r="U32" s="95"/>
      <c r="V32" s="95"/>
      <c r="W32" s="95"/>
      <c r="X32" s="95"/>
      <c r="Y32" s="95"/>
      <c r="Z32" s="95"/>
      <c r="AA32" s="95"/>
      <c r="AB32" s="95"/>
      <c r="AC32" s="95"/>
      <c r="AD32" s="97">
        <f t="shared" si="5"/>
        <v>0</v>
      </c>
      <c r="AE32" s="221" t="s">
        <v>143</v>
      </c>
      <c r="AF32" s="258"/>
      <c r="AG32" s="258"/>
      <c r="AH32" s="259"/>
      <c r="AI32" s="260"/>
      <c r="AJ32" s="260"/>
      <c r="AK32" s="260"/>
      <c r="AL32" s="260"/>
      <c r="AM32" s="260"/>
    </row>
    <row r="33" spans="1:39" ht="29.25" thickBot="1" x14ac:dyDescent="0.3">
      <c r="A33" s="15" t="s">
        <v>27</v>
      </c>
      <c r="B33" s="15"/>
      <c r="C33" s="53"/>
      <c r="D33" s="86"/>
      <c r="E33" s="86"/>
      <c r="F33" s="243" t="s">
        <v>688</v>
      </c>
      <c r="G33" s="95"/>
      <c r="H33" s="95"/>
      <c r="I33" s="95"/>
      <c r="J33" s="95"/>
      <c r="K33" s="95"/>
      <c r="L33" s="95"/>
      <c r="M33" s="95"/>
      <c r="N33" s="95"/>
      <c r="O33" s="95"/>
      <c r="P33" s="95"/>
      <c r="Q33" s="103">
        <f t="shared" si="3"/>
        <v>0</v>
      </c>
      <c r="R33" s="12"/>
      <c r="S33" s="81"/>
      <c r="T33" s="95"/>
      <c r="U33" s="95"/>
      <c r="V33" s="95"/>
      <c r="W33" s="95"/>
      <c r="X33" s="95"/>
      <c r="Y33" s="95"/>
      <c r="Z33" s="95"/>
      <c r="AA33" s="95"/>
      <c r="AB33" s="95"/>
      <c r="AC33" s="95"/>
      <c r="AD33" s="97">
        <f t="shared" si="5"/>
        <v>0</v>
      </c>
      <c r="AE33" s="221" t="s">
        <v>143</v>
      </c>
      <c r="AF33" s="258"/>
      <c r="AG33" s="258"/>
      <c r="AH33" s="259"/>
      <c r="AI33" s="260"/>
      <c r="AJ33" s="260"/>
      <c r="AK33" s="260"/>
      <c r="AL33" s="260"/>
      <c r="AM33" s="260"/>
    </row>
    <row r="34" spans="1:39" ht="15.75" thickBot="1" x14ac:dyDescent="0.3">
      <c r="A34" s="268" t="s">
        <v>711</v>
      </c>
      <c r="B34" s="17"/>
      <c r="C34" s="17"/>
      <c r="D34" s="17"/>
      <c r="E34" s="17"/>
      <c r="F34" s="17"/>
      <c r="G34" s="79"/>
      <c r="H34" s="79"/>
      <c r="I34" s="79"/>
      <c r="J34" s="79"/>
      <c r="K34" s="79"/>
      <c r="L34" s="79"/>
      <c r="M34" s="79"/>
      <c r="N34" s="79"/>
      <c r="O34" s="79"/>
      <c r="P34" s="79"/>
      <c r="Q34" s="98"/>
      <c r="R34" s="54"/>
      <c r="S34" s="79"/>
      <c r="T34" s="79"/>
      <c r="U34" s="79"/>
      <c r="V34" s="79"/>
      <c r="W34" s="79"/>
      <c r="X34" s="79"/>
      <c r="Y34" s="79"/>
      <c r="Z34" s="79"/>
      <c r="AA34" s="79"/>
      <c r="AB34" s="79"/>
      <c r="AC34" s="79"/>
      <c r="AD34" s="99"/>
      <c r="AE34" s="251"/>
      <c r="AF34" s="17"/>
      <c r="AG34" s="17"/>
      <c r="AH34" s="17"/>
      <c r="AI34" s="17"/>
      <c r="AJ34" s="17"/>
      <c r="AK34" s="17"/>
      <c r="AL34" s="17"/>
      <c r="AM34" s="17"/>
    </row>
    <row r="35" spans="1:39" ht="29.25" thickBot="1" x14ac:dyDescent="0.3">
      <c r="A35" s="15" t="s">
        <v>28</v>
      </c>
      <c r="B35" s="15"/>
      <c r="C35" s="53"/>
      <c r="D35" s="86"/>
      <c r="E35" s="86"/>
      <c r="F35" s="243" t="s">
        <v>688</v>
      </c>
      <c r="G35" s="95"/>
      <c r="H35" s="95"/>
      <c r="I35" s="95"/>
      <c r="J35" s="95"/>
      <c r="K35" s="95"/>
      <c r="L35" s="95"/>
      <c r="M35" s="95"/>
      <c r="N35" s="95"/>
      <c r="O35" s="95"/>
      <c r="P35" s="95"/>
      <c r="Q35" s="103">
        <f t="shared" si="3"/>
        <v>0</v>
      </c>
      <c r="R35" s="12"/>
      <c r="S35" s="81"/>
      <c r="T35" s="95"/>
      <c r="U35" s="95"/>
      <c r="V35" s="95"/>
      <c r="W35" s="95"/>
      <c r="X35" s="95"/>
      <c r="Y35" s="95"/>
      <c r="Z35" s="95"/>
      <c r="AA35" s="95"/>
      <c r="AB35" s="95"/>
      <c r="AC35" s="95"/>
      <c r="AD35" s="97">
        <f t="shared" ref="AD35:AD37" si="6">SUM(T35:AC35)</f>
        <v>0</v>
      </c>
      <c r="AE35" s="221" t="s">
        <v>143</v>
      </c>
      <c r="AF35" s="258"/>
      <c r="AG35" s="258"/>
      <c r="AH35" s="259"/>
      <c r="AI35" s="260"/>
      <c r="AJ35" s="260"/>
      <c r="AK35" s="260"/>
      <c r="AL35" s="260"/>
      <c r="AM35" s="260"/>
    </row>
    <row r="36" spans="1:39" ht="29.25" thickBot="1" x14ac:dyDescent="0.3">
      <c r="A36" s="15" t="s">
        <v>28</v>
      </c>
      <c r="B36" s="15"/>
      <c r="C36" s="53"/>
      <c r="D36" s="86"/>
      <c r="E36" s="86"/>
      <c r="F36" s="243" t="s">
        <v>688</v>
      </c>
      <c r="G36" s="95"/>
      <c r="H36" s="95"/>
      <c r="I36" s="95"/>
      <c r="J36" s="95"/>
      <c r="K36" s="95"/>
      <c r="L36" s="95"/>
      <c r="M36" s="95"/>
      <c r="N36" s="95"/>
      <c r="O36" s="95"/>
      <c r="P36" s="95"/>
      <c r="Q36" s="103">
        <f t="shared" si="3"/>
        <v>0</v>
      </c>
      <c r="R36" s="12"/>
      <c r="S36" s="81"/>
      <c r="T36" s="95"/>
      <c r="U36" s="95"/>
      <c r="V36" s="95"/>
      <c r="W36" s="95"/>
      <c r="X36" s="95"/>
      <c r="Y36" s="95"/>
      <c r="Z36" s="95"/>
      <c r="AA36" s="95"/>
      <c r="AB36" s="95"/>
      <c r="AC36" s="95"/>
      <c r="AD36" s="97">
        <f t="shared" si="6"/>
        <v>0</v>
      </c>
      <c r="AE36" s="221" t="s">
        <v>143</v>
      </c>
      <c r="AF36" s="258"/>
      <c r="AG36" s="258"/>
      <c r="AH36" s="259"/>
      <c r="AI36" s="260"/>
      <c r="AJ36" s="260"/>
      <c r="AK36" s="260"/>
      <c r="AL36" s="260"/>
      <c r="AM36" s="260"/>
    </row>
    <row r="37" spans="1:39" ht="29.25" thickBot="1" x14ac:dyDescent="0.3">
      <c r="A37" s="15" t="s">
        <v>28</v>
      </c>
      <c r="B37" s="15"/>
      <c r="C37" s="53"/>
      <c r="D37" s="86"/>
      <c r="E37" s="86"/>
      <c r="F37" s="243" t="s">
        <v>688</v>
      </c>
      <c r="G37" s="95"/>
      <c r="H37" s="95"/>
      <c r="I37" s="95"/>
      <c r="J37" s="95"/>
      <c r="K37" s="95"/>
      <c r="L37" s="95"/>
      <c r="M37" s="95"/>
      <c r="N37" s="95"/>
      <c r="O37" s="95"/>
      <c r="P37" s="95"/>
      <c r="Q37" s="103">
        <f t="shared" si="3"/>
        <v>0</v>
      </c>
      <c r="R37" s="12"/>
      <c r="S37" s="81"/>
      <c r="T37" s="95"/>
      <c r="U37" s="95"/>
      <c r="V37" s="95"/>
      <c r="W37" s="95"/>
      <c r="X37" s="95"/>
      <c r="Y37" s="95"/>
      <c r="Z37" s="95"/>
      <c r="AA37" s="95"/>
      <c r="AB37" s="95"/>
      <c r="AC37" s="95"/>
      <c r="AD37" s="97">
        <f t="shared" si="6"/>
        <v>0</v>
      </c>
      <c r="AE37" s="221" t="s">
        <v>143</v>
      </c>
      <c r="AF37" s="258"/>
      <c r="AG37" s="258"/>
      <c r="AH37" s="259"/>
      <c r="AI37" s="260"/>
      <c r="AJ37" s="260"/>
      <c r="AK37" s="260"/>
      <c r="AL37" s="260"/>
      <c r="AM37" s="260"/>
    </row>
    <row r="38" spans="1:39" s="234" customFormat="1" ht="15.75" thickBot="1" x14ac:dyDescent="0.3">
      <c r="A38" s="268" t="s">
        <v>712</v>
      </c>
      <c r="B38" s="230"/>
      <c r="C38" s="230"/>
      <c r="D38" s="230"/>
      <c r="E38" s="230"/>
      <c r="F38" s="230"/>
      <c r="G38" s="230"/>
      <c r="H38" s="230"/>
      <c r="I38" s="230"/>
      <c r="J38" s="230"/>
      <c r="K38" s="230"/>
      <c r="L38" s="230"/>
      <c r="M38" s="230"/>
      <c r="N38" s="230"/>
      <c r="O38" s="231"/>
      <c r="P38" s="231"/>
      <c r="Q38" s="232"/>
      <c r="R38" s="232"/>
      <c r="S38" s="232"/>
      <c r="T38" s="232"/>
      <c r="U38" s="232"/>
      <c r="V38" s="232"/>
      <c r="W38" s="231"/>
      <c r="X38" s="233"/>
      <c r="Y38" s="233"/>
      <c r="Z38" s="233"/>
      <c r="AA38" s="233"/>
      <c r="AB38" s="230"/>
      <c r="AC38" s="230"/>
      <c r="AD38" s="233"/>
      <c r="AE38" s="233"/>
      <c r="AF38" s="233"/>
      <c r="AG38" s="233"/>
      <c r="AH38" s="233"/>
      <c r="AI38" s="233"/>
      <c r="AJ38" s="233"/>
      <c r="AK38" s="233"/>
      <c r="AL38" s="233"/>
      <c r="AM38" s="233"/>
    </row>
    <row r="39" spans="1:39" s="3" customFormat="1" ht="57.75" thickBot="1" x14ac:dyDescent="0.25">
      <c r="A39" s="53" t="s">
        <v>659</v>
      </c>
      <c r="B39" s="235"/>
      <c r="C39" s="235"/>
      <c r="D39" s="235" t="s">
        <v>678</v>
      </c>
      <c r="E39" s="235" t="s">
        <v>676</v>
      </c>
      <c r="F39" s="236" t="s">
        <v>674</v>
      </c>
      <c r="G39" s="237">
        <f>'Reference emissions EII'!G35</f>
        <v>0</v>
      </c>
      <c r="H39" s="237">
        <f>'Reference emissions EII'!H35</f>
        <v>0</v>
      </c>
      <c r="I39" s="237">
        <f>'Reference emissions EII'!I35</f>
        <v>0</v>
      </c>
      <c r="J39" s="237">
        <f>'Reference emissions EII'!J35</f>
        <v>0</v>
      </c>
      <c r="K39" s="237">
        <f>'Reference emissions EII'!K35</f>
        <v>0</v>
      </c>
      <c r="L39" s="237">
        <f>'Reference emissions EII'!L35</f>
        <v>0</v>
      </c>
      <c r="M39" s="237">
        <f>'Reference emissions EII'!M35</f>
        <v>0</v>
      </c>
      <c r="N39" s="237">
        <f>'Reference emissions EII'!N35</f>
        <v>0</v>
      </c>
      <c r="O39" s="237">
        <f>'Reference emissions EII'!O35</f>
        <v>0</v>
      </c>
      <c r="P39" s="237">
        <f>'Reference emissions EII'!P35</f>
        <v>0</v>
      </c>
      <c r="Q39" s="103">
        <f t="shared" si="3"/>
        <v>0</v>
      </c>
      <c r="R39" s="221" t="s">
        <v>681</v>
      </c>
      <c r="S39" s="238"/>
      <c r="T39" s="238"/>
      <c r="U39" s="238"/>
      <c r="V39" s="238"/>
      <c r="W39" s="238"/>
      <c r="X39" s="238"/>
      <c r="Y39" s="238"/>
      <c r="Z39" s="238"/>
      <c r="AA39" s="238"/>
      <c r="AB39" s="238"/>
      <c r="AC39" s="238"/>
      <c r="AD39" s="238"/>
      <c r="AE39" s="238"/>
      <c r="AF39" s="80"/>
      <c r="AG39" s="80"/>
      <c r="AH39" s="80"/>
      <c r="AI39" s="80"/>
      <c r="AJ39" s="80"/>
      <c r="AK39" s="80"/>
      <c r="AL39" s="80"/>
      <c r="AM39" s="221" t="s">
        <v>681</v>
      </c>
    </row>
    <row r="40" spans="1:39" s="3" customFormat="1" ht="43.5" thickBot="1" x14ac:dyDescent="0.25">
      <c r="A40" s="53" t="s">
        <v>659</v>
      </c>
      <c r="B40" s="239"/>
      <c r="C40" s="235"/>
      <c r="D40" s="239" t="s">
        <v>679</v>
      </c>
      <c r="E40" s="239" t="s">
        <v>677</v>
      </c>
      <c r="F40" s="236" t="s">
        <v>675</v>
      </c>
      <c r="G40" s="240">
        <f>'Reference emissions EII'!G36</f>
        <v>5</v>
      </c>
      <c r="H40" s="240">
        <f>'Reference emissions EII'!H36</f>
        <v>5</v>
      </c>
      <c r="I40" s="240">
        <f>'Reference emissions EII'!I36</f>
        <v>5</v>
      </c>
      <c r="J40" s="240">
        <f>'Reference emissions EII'!J36</f>
        <v>5</v>
      </c>
      <c r="K40" s="240">
        <f>'Reference emissions EII'!K36</f>
        <v>5</v>
      </c>
      <c r="L40" s="240">
        <f>'Reference emissions EII'!L36</f>
        <v>5</v>
      </c>
      <c r="M40" s="240">
        <f>'Reference emissions EII'!M36</f>
        <v>5</v>
      </c>
      <c r="N40" s="240">
        <f>'Reference emissions EII'!N36</f>
        <v>5</v>
      </c>
      <c r="O40" s="240">
        <f>'Reference emissions EII'!O36</f>
        <v>5</v>
      </c>
      <c r="P40" s="240">
        <f>'Reference emissions EII'!P36</f>
        <v>5</v>
      </c>
      <c r="Q40" s="238"/>
      <c r="R40" s="221" t="s">
        <v>681</v>
      </c>
      <c r="S40" s="238"/>
      <c r="T40" s="238"/>
      <c r="U40" s="238"/>
      <c r="V40" s="238"/>
      <c r="W40" s="238"/>
      <c r="X40" s="238"/>
      <c r="Y40" s="238"/>
      <c r="Z40" s="238"/>
      <c r="AA40" s="238"/>
      <c r="AB40" s="238"/>
      <c r="AC40" s="238"/>
      <c r="AD40" s="238"/>
      <c r="AE40" s="238"/>
      <c r="AF40" s="80"/>
      <c r="AG40" s="80"/>
      <c r="AH40" s="80"/>
      <c r="AI40" s="80"/>
      <c r="AJ40" s="80"/>
      <c r="AK40" s="80"/>
      <c r="AL40" s="80"/>
      <c r="AM40" s="221" t="s">
        <v>681</v>
      </c>
    </row>
    <row r="41" spans="1:39" s="3" customFormat="1" ht="72" thickBot="1" x14ac:dyDescent="0.25">
      <c r="A41" s="53" t="s">
        <v>659</v>
      </c>
      <c r="B41" s="15"/>
      <c r="C41" s="235"/>
      <c r="D41" s="15" t="s">
        <v>682</v>
      </c>
      <c r="E41" s="235" t="s">
        <v>660</v>
      </c>
      <c r="F41" s="236" t="s">
        <v>661</v>
      </c>
      <c r="G41" s="241">
        <f>'Reference emissions EII'!G37</f>
        <v>0</v>
      </c>
      <c r="H41" s="241">
        <f>'Reference emissions EII'!H37</f>
        <v>0</v>
      </c>
      <c r="I41" s="241">
        <f>'Reference emissions EII'!I37</f>
        <v>0</v>
      </c>
      <c r="J41" s="241">
        <f>'Reference emissions EII'!J37</f>
        <v>0</v>
      </c>
      <c r="K41" s="241">
        <f>'Reference emissions EII'!K37</f>
        <v>0</v>
      </c>
      <c r="L41" s="241">
        <f>'Reference emissions EII'!L37</f>
        <v>0</v>
      </c>
      <c r="M41" s="241">
        <f>'Reference emissions EII'!M37</f>
        <v>0</v>
      </c>
      <c r="N41" s="241">
        <f>'Reference emissions EII'!N37</f>
        <v>0</v>
      </c>
      <c r="O41" s="241">
        <f>'Reference emissions EII'!O37</f>
        <v>0</v>
      </c>
      <c r="P41" s="241">
        <f>'Reference emissions EII'!P37</f>
        <v>0</v>
      </c>
      <c r="Q41" s="238"/>
      <c r="R41" s="221" t="s">
        <v>681</v>
      </c>
      <c r="S41" s="238"/>
      <c r="T41" s="238"/>
      <c r="U41" s="238"/>
      <c r="V41" s="238"/>
      <c r="W41" s="238"/>
      <c r="X41" s="238"/>
      <c r="Y41" s="238"/>
      <c r="Z41" s="238"/>
      <c r="AA41" s="238"/>
      <c r="AB41" s="238"/>
      <c r="AC41" s="238"/>
      <c r="AD41" s="238"/>
      <c r="AE41" s="238"/>
      <c r="AF41" s="80"/>
      <c r="AG41" s="80"/>
      <c r="AH41" s="80"/>
      <c r="AI41" s="80"/>
      <c r="AJ41" s="80"/>
      <c r="AK41" s="80"/>
      <c r="AL41" s="80"/>
      <c r="AM41" s="221" t="s">
        <v>681</v>
      </c>
    </row>
  </sheetData>
  <mergeCells count="3">
    <mergeCell ref="A14:Q14"/>
    <mergeCell ref="R14:AE14"/>
    <mergeCell ref="AF14:AM14"/>
  </mergeCells>
  <conditionalFormatting sqref="D10">
    <cfRule type="cellIs" dxfId="3" priority="1" operator="equal">
      <formula>"ERR"</formula>
    </cfRule>
    <cfRule type="cellIs" dxfId="2" priority="2" operator="equal">
      <formula>"OK"</formula>
    </cfRule>
  </conditionalFormatting>
  <dataValidations count="5">
    <dataValidation type="list" allowBlank="1" showInputMessage="1" showErrorMessage="1" sqref="AG23:AG25 AG27:AG29 AG31:AG33 AG35:AG37 AG17:AG19" xr:uid="{00000000-0002-0000-0400-000000000000}">
      <formula1>"Taken from data management platform,Internal control spreadsheet,Direct measurement,Estimated,Adoption of assumptions (please describe),Extrapolation (please describe),Sample (please describe),Other"</formula1>
    </dataValidation>
    <dataValidation type="list" allowBlank="1" showInputMessage="1" showErrorMessage="1" sqref="AH17:AH19 AH27:AH29 AH23:AH25 AH31:AH33 AH35:AH37" xr:uid="{00000000-0002-0000-0400-000001000000}">
      <formula1>"Primary Data,Third Party Data,Secondary Data - Calculated based on actual data,Secondary Data - Based on assumptions,Secondary Data - Extrapolation,Other evidence"</formula1>
    </dataValidation>
    <dataValidation allowBlank="1" showInputMessage="1" showErrorMessage="1" error="Please insert a value between 0 and 1." sqref="F39:F40" xr:uid="{293DFA02-6294-4C22-9A60-BB3C90F20E6A}"/>
    <dataValidation type="decimal" allowBlank="1" showInputMessage="1" showErrorMessage="1" error="Please insert a value between 0 and 1." sqref="G41:P41" xr:uid="{176E3959-3D02-4BCC-B5C8-5148F37DCD2F}">
      <formula1>0</formula1>
      <formula2>1</formula2>
    </dataValidation>
    <dataValidation type="list" allowBlank="1" showInputMessage="1" showErrorMessage="1" sqref="AF17:AF19 AF23:AF25 AF27:AF29 AF31:AF33 AF35:AF37" xr:uid="{7AFE6C2E-0FBE-40E3-82F0-4773834C004A}">
      <formula1>"To be monitored,Not monitored"</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O76"/>
  <sheetViews>
    <sheetView zoomScaleNormal="100" workbookViewId="0"/>
  </sheetViews>
  <sheetFormatPr defaultColWidth="9.140625" defaultRowHeight="15" x14ac:dyDescent="0.25"/>
  <cols>
    <col min="1" max="1" width="27.85546875" style="163" customWidth="1"/>
    <col min="2" max="2" width="53" style="163" customWidth="1"/>
    <col min="3" max="3" width="25.85546875" style="163" customWidth="1"/>
    <col min="4" max="4" width="13.5703125" style="163" customWidth="1"/>
    <col min="5" max="5" width="14.140625" style="163" customWidth="1"/>
    <col min="6" max="6" width="62.28515625" style="163" customWidth="1"/>
    <col min="7" max="7" width="72.7109375" style="163" customWidth="1"/>
    <col min="8" max="8" width="18.140625" style="266" customWidth="1"/>
    <col min="9" max="9" width="22.140625" style="266" customWidth="1"/>
    <col min="10" max="10" width="22.85546875" style="266" customWidth="1"/>
    <col min="11" max="11" width="17.7109375" style="266" customWidth="1"/>
    <col min="12" max="12" width="21.28515625" style="266" customWidth="1"/>
    <col min="13" max="13" width="25.42578125" style="266" customWidth="1"/>
    <col min="14" max="14" width="17.42578125" style="266" customWidth="1"/>
    <col min="15" max="15" width="20.42578125" style="266" customWidth="1"/>
    <col min="16" max="16384" width="9.140625" style="110"/>
  </cols>
  <sheetData>
    <row r="1" spans="1:15" s="265" customFormat="1" ht="16.5" thickBot="1" x14ac:dyDescent="0.3">
      <c r="A1" s="264" t="s">
        <v>704</v>
      </c>
      <c r="B1" s="74"/>
      <c r="C1" s="73"/>
      <c r="D1" s="73"/>
      <c r="E1" s="75"/>
      <c r="F1" s="164"/>
      <c r="G1" s="164"/>
      <c r="H1" s="164"/>
      <c r="I1" s="164"/>
      <c r="J1" s="164"/>
      <c r="K1" s="164"/>
      <c r="L1" s="164"/>
      <c r="M1" s="164"/>
      <c r="N1" s="164"/>
      <c r="O1" s="164"/>
    </row>
    <row r="2" spans="1:15" s="186" customFormat="1" ht="13.5" thickBot="1" x14ac:dyDescent="0.3">
      <c r="A2" s="290" t="s">
        <v>126</v>
      </c>
      <c r="B2" s="290" t="s">
        <v>97</v>
      </c>
      <c r="C2" s="290" t="s">
        <v>145</v>
      </c>
      <c r="D2" s="290" t="s">
        <v>98</v>
      </c>
      <c r="E2" s="290" t="s">
        <v>99</v>
      </c>
      <c r="F2" s="290" t="s">
        <v>146</v>
      </c>
      <c r="G2" s="290" t="s">
        <v>77</v>
      </c>
      <c r="H2" s="290" t="s">
        <v>432</v>
      </c>
      <c r="I2" s="290"/>
      <c r="J2" s="290"/>
      <c r="K2" s="290"/>
      <c r="L2" s="290"/>
      <c r="M2" s="290"/>
      <c r="N2" s="290"/>
      <c r="O2" s="290"/>
    </row>
    <row r="3" spans="1:15" s="186" customFormat="1" ht="51.75" thickBot="1" x14ac:dyDescent="0.3">
      <c r="A3" s="290"/>
      <c r="B3" s="290"/>
      <c r="C3" s="290"/>
      <c r="D3" s="290"/>
      <c r="E3" s="290"/>
      <c r="F3" s="290"/>
      <c r="G3" s="290"/>
      <c r="H3" s="40" t="s">
        <v>696</v>
      </c>
      <c r="I3" s="40" t="s">
        <v>697</v>
      </c>
      <c r="J3" s="40" t="s">
        <v>132</v>
      </c>
      <c r="K3" s="40" t="s">
        <v>129</v>
      </c>
      <c r="L3" s="40" t="s">
        <v>698</v>
      </c>
      <c r="M3" s="40" t="s">
        <v>699</v>
      </c>
      <c r="N3" s="40" t="s">
        <v>130</v>
      </c>
      <c r="O3" s="40" t="s">
        <v>131</v>
      </c>
    </row>
    <row r="4" spans="1:15" s="186" customFormat="1" ht="64.5" thickBot="1" x14ac:dyDescent="0.3">
      <c r="A4" s="41" t="s">
        <v>147</v>
      </c>
      <c r="B4" s="41" t="s">
        <v>148</v>
      </c>
      <c r="C4" s="41" t="s">
        <v>34</v>
      </c>
      <c r="D4" s="9">
        <v>0.217</v>
      </c>
      <c r="E4" s="30" t="s">
        <v>603</v>
      </c>
      <c r="F4" s="41" t="s">
        <v>149</v>
      </c>
      <c r="G4" s="7" t="s">
        <v>150</v>
      </c>
      <c r="H4" s="267"/>
      <c r="I4" s="267"/>
      <c r="J4" s="267"/>
      <c r="K4" s="267"/>
      <c r="L4" s="267"/>
      <c r="M4" s="267"/>
      <c r="N4" s="267"/>
      <c r="O4" s="267"/>
    </row>
    <row r="5" spans="1:15" s="186" customFormat="1" ht="77.25" thickBot="1" x14ac:dyDescent="0.3">
      <c r="A5" s="41" t="s">
        <v>147</v>
      </c>
      <c r="B5" s="41" t="s">
        <v>151</v>
      </c>
      <c r="C5" s="41" t="s">
        <v>152</v>
      </c>
      <c r="D5" s="9">
        <v>0.157</v>
      </c>
      <c r="E5" s="30" t="s">
        <v>603</v>
      </c>
      <c r="F5" s="41" t="s">
        <v>149</v>
      </c>
      <c r="G5" s="7" t="s">
        <v>153</v>
      </c>
      <c r="H5" s="267"/>
      <c r="I5" s="267"/>
      <c r="J5" s="267"/>
      <c r="K5" s="267"/>
      <c r="L5" s="267"/>
      <c r="M5" s="267"/>
      <c r="N5" s="267"/>
      <c r="O5" s="267"/>
    </row>
    <row r="6" spans="1:15" s="186" customFormat="1" ht="102.75" thickBot="1" x14ac:dyDescent="0.3">
      <c r="A6" s="41" t="s">
        <v>147</v>
      </c>
      <c r="B6" s="41" t="s">
        <v>154</v>
      </c>
      <c r="C6" s="41" t="s">
        <v>155</v>
      </c>
      <c r="D6" s="9">
        <v>1.288</v>
      </c>
      <c r="E6" s="30" t="s">
        <v>603</v>
      </c>
      <c r="F6" s="41" t="s">
        <v>149</v>
      </c>
      <c r="G6" s="7" t="s">
        <v>156</v>
      </c>
      <c r="H6" s="267"/>
      <c r="I6" s="267"/>
      <c r="J6" s="267"/>
      <c r="K6" s="267"/>
      <c r="L6" s="267"/>
      <c r="M6" s="267"/>
      <c r="N6" s="267"/>
      <c r="O6" s="267"/>
    </row>
    <row r="7" spans="1:15" s="186" customFormat="1" ht="64.5" thickBot="1" x14ac:dyDescent="0.3">
      <c r="A7" s="41" t="s">
        <v>147</v>
      </c>
      <c r="B7" s="41" t="s">
        <v>157</v>
      </c>
      <c r="C7" s="41" t="s">
        <v>158</v>
      </c>
      <c r="D7" s="9">
        <v>0.312</v>
      </c>
      <c r="E7" s="30" t="s">
        <v>603</v>
      </c>
      <c r="F7" s="41" t="s">
        <v>149</v>
      </c>
      <c r="G7" s="7" t="s">
        <v>159</v>
      </c>
      <c r="H7" s="267"/>
      <c r="I7" s="267"/>
      <c r="J7" s="267"/>
      <c r="K7" s="267"/>
      <c r="L7" s="267"/>
      <c r="M7" s="267"/>
      <c r="N7" s="267"/>
      <c r="O7" s="267"/>
    </row>
    <row r="8" spans="1:15" s="186" customFormat="1" ht="51.75" thickBot="1" x14ac:dyDescent="0.3">
      <c r="A8" s="41" t="s">
        <v>147</v>
      </c>
      <c r="B8" s="41" t="s">
        <v>526</v>
      </c>
      <c r="C8" s="41" t="s">
        <v>41</v>
      </c>
      <c r="D8" s="9">
        <v>1.464</v>
      </c>
      <c r="E8" s="30" t="s">
        <v>603</v>
      </c>
      <c r="F8" s="41" t="s">
        <v>149</v>
      </c>
      <c r="G8" s="7" t="s">
        <v>160</v>
      </c>
      <c r="H8" s="267"/>
      <c r="I8" s="267"/>
      <c r="J8" s="267"/>
      <c r="K8" s="267"/>
      <c r="L8" s="267"/>
      <c r="M8" s="267"/>
      <c r="N8" s="267"/>
      <c r="O8" s="267"/>
    </row>
    <row r="9" spans="1:15" s="186" customFormat="1" ht="51.75" thickBot="1" x14ac:dyDescent="0.3">
      <c r="A9" s="41" t="s">
        <v>147</v>
      </c>
      <c r="B9" s="41" t="s">
        <v>161</v>
      </c>
      <c r="C9" s="41" t="s">
        <v>162</v>
      </c>
      <c r="D9" s="9">
        <v>0.69299999999999995</v>
      </c>
      <c r="E9" s="30" t="s">
        <v>603</v>
      </c>
      <c r="F9" s="41" t="s">
        <v>149</v>
      </c>
      <c r="G9" s="7" t="s">
        <v>163</v>
      </c>
      <c r="H9" s="267"/>
      <c r="I9" s="267"/>
      <c r="J9" s="267"/>
      <c r="K9" s="267"/>
      <c r="L9" s="267"/>
      <c r="M9" s="267"/>
      <c r="N9" s="267"/>
      <c r="O9" s="267"/>
    </row>
    <row r="10" spans="1:15" s="186" customFormat="1" ht="77.25" thickBot="1" x14ac:dyDescent="0.3">
      <c r="A10" s="41" t="s">
        <v>147</v>
      </c>
      <c r="B10" s="41" t="s">
        <v>164</v>
      </c>
      <c r="C10" s="41" t="s">
        <v>165</v>
      </c>
      <c r="D10" s="9">
        <v>0.95699999999999996</v>
      </c>
      <c r="E10" s="30" t="s">
        <v>603</v>
      </c>
      <c r="F10" s="41" t="s">
        <v>149</v>
      </c>
      <c r="G10" s="7" t="s">
        <v>166</v>
      </c>
      <c r="H10" s="267"/>
      <c r="I10" s="267"/>
      <c r="J10" s="267"/>
      <c r="K10" s="267"/>
      <c r="L10" s="267"/>
      <c r="M10" s="267"/>
      <c r="N10" s="267"/>
      <c r="O10" s="267"/>
    </row>
    <row r="11" spans="1:15" s="186" customFormat="1" ht="64.5" thickBot="1" x14ac:dyDescent="0.3">
      <c r="A11" s="41" t="s">
        <v>147</v>
      </c>
      <c r="B11" s="41" t="s">
        <v>167</v>
      </c>
      <c r="C11" s="41" t="s">
        <v>168</v>
      </c>
      <c r="D11" s="9">
        <v>0.72499999999999998</v>
      </c>
      <c r="E11" s="30" t="s">
        <v>603</v>
      </c>
      <c r="F11" s="41" t="s">
        <v>149</v>
      </c>
      <c r="G11" s="7" t="s">
        <v>169</v>
      </c>
      <c r="H11" s="267"/>
      <c r="I11" s="267"/>
      <c r="J11" s="267"/>
      <c r="K11" s="267"/>
      <c r="L11" s="267"/>
      <c r="M11" s="267"/>
      <c r="N11" s="267"/>
      <c r="O11" s="267"/>
    </row>
    <row r="12" spans="1:15" s="186" customFormat="1" ht="105.75" thickBot="1" x14ac:dyDescent="0.3">
      <c r="A12" s="41" t="s">
        <v>147</v>
      </c>
      <c r="B12" s="41" t="s">
        <v>663</v>
      </c>
      <c r="C12" s="41" t="s">
        <v>170</v>
      </c>
      <c r="D12" s="9">
        <v>0.81499999999999995</v>
      </c>
      <c r="E12" s="30" t="s">
        <v>603</v>
      </c>
      <c r="F12" s="41" t="s">
        <v>149</v>
      </c>
      <c r="G12" s="7" t="s">
        <v>171</v>
      </c>
      <c r="H12" s="267"/>
      <c r="I12" s="267"/>
      <c r="J12" s="267"/>
      <c r="K12" s="267"/>
      <c r="L12" s="267"/>
      <c r="M12" s="267"/>
      <c r="N12" s="267"/>
      <c r="O12" s="267"/>
    </row>
    <row r="13" spans="1:15" s="186" customFormat="1" ht="51.75" thickBot="1" x14ac:dyDescent="0.3">
      <c r="A13" s="41" t="s">
        <v>147</v>
      </c>
      <c r="B13" s="41" t="s">
        <v>172</v>
      </c>
      <c r="C13" s="41" t="s">
        <v>173</v>
      </c>
      <c r="D13" s="9">
        <v>1.4059999999999999</v>
      </c>
      <c r="E13" s="30" t="s">
        <v>603</v>
      </c>
      <c r="F13" s="41" t="s">
        <v>149</v>
      </c>
      <c r="G13" s="7" t="s">
        <v>174</v>
      </c>
      <c r="H13" s="267"/>
      <c r="I13" s="267"/>
      <c r="J13" s="267"/>
      <c r="K13" s="267"/>
      <c r="L13" s="267"/>
      <c r="M13" s="267"/>
      <c r="N13" s="267"/>
      <c r="O13" s="267"/>
    </row>
    <row r="14" spans="1:15" s="186" customFormat="1" ht="51.75" thickBot="1" x14ac:dyDescent="0.3">
      <c r="A14" s="41" t="s">
        <v>147</v>
      </c>
      <c r="B14" s="41" t="s">
        <v>175</v>
      </c>
      <c r="C14" s="41" t="s">
        <v>176</v>
      </c>
      <c r="D14" s="9">
        <v>0.39900000000000002</v>
      </c>
      <c r="E14" s="30" t="s">
        <v>603</v>
      </c>
      <c r="F14" s="41" t="s">
        <v>149</v>
      </c>
      <c r="G14" s="7" t="s">
        <v>177</v>
      </c>
      <c r="H14" s="267"/>
      <c r="I14" s="267"/>
      <c r="J14" s="267"/>
      <c r="K14" s="267"/>
      <c r="L14" s="267"/>
      <c r="M14" s="267"/>
      <c r="N14" s="267"/>
      <c r="O14" s="267"/>
    </row>
    <row r="15" spans="1:15" s="186" customFormat="1" ht="115.5" thickBot="1" x14ac:dyDescent="0.3">
      <c r="A15" s="41" t="s">
        <v>147</v>
      </c>
      <c r="B15" s="41" t="s">
        <v>178</v>
      </c>
      <c r="C15" s="41" t="s">
        <v>179</v>
      </c>
      <c r="D15" s="9">
        <v>0.28999999999999998</v>
      </c>
      <c r="E15" s="30" t="s">
        <v>603</v>
      </c>
      <c r="F15" s="41" t="s">
        <v>149</v>
      </c>
      <c r="G15" s="7" t="s">
        <v>180</v>
      </c>
      <c r="H15" s="267"/>
      <c r="I15" s="267"/>
      <c r="J15" s="267"/>
      <c r="K15" s="267"/>
      <c r="L15" s="267"/>
      <c r="M15" s="267"/>
      <c r="N15" s="267"/>
      <c r="O15" s="267"/>
    </row>
    <row r="16" spans="1:15" s="186" customFormat="1" ht="51.75" thickBot="1" x14ac:dyDescent="0.3">
      <c r="A16" s="41" t="s">
        <v>147</v>
      </c>
      <c r="B16" s="41" t="s">
        <v>181</v>
      </c>
      <c r="C16" s="41" t="s">
        <v>182</v>
      </c>
      <c r="D16" s="9">
        <v>0.23699999999999999</v>
      </c>
      <c r="E16" s="30" t="s">
        <v>603</v>
      </c>
      <c r="F16" s="41" t="s">
        <v>149</v>
      </c>
      <c r="G16" s="7" t="s">
        <v>180</v>
      </c>
      <c r="H16" s="267"/>
      <c r="I16" s="267"/>
      <c r="J16" s="267"/>
      <c r="K16" s="267"/>
      <c r="L16" s="267"/>
      <c r="M16" s="267"/>
      <c r="N16" s="267"/>
      <c r="O16" s="267"/>
    </row>
    <row r="17" spans="1:15" s="186" customFormat="1" ht="64.5" thickBot="1" x14ac:dyDescent="0.3">
      <c r="A17" s="41" t="s">
        <v>147</v>
      </c>
      <c r="B17" s="41" t="s">
        <v>183</v>
      </c>
      <c r="C17" s="41" t="s">
        <v>184</v>
      </c>
      <c r="D17" s="9">
        <v>0.309</v>
      </c>
      <c r="E17" s="30" t="s">
        <v>603</v>
      </c>
      <c r="F17" s="41" t="s">
        <v>149</v>
      </c>
      <c r="G17" s="7" t="s">
        <v>185</v>
      </c>
      <c r="H17" s="267"/>
      <c r="I17" s="267"/>
      <c r="J17" s="267"/>
      <c r="K17" s="267"/>
      <c r="L17" s="267"/>
      <c r="M17" s="267"/>
      <c r="N17" s="267"/>
      <c r="O17" s="267"/>
    </row>
    <row r="18" spans="1:15" s="186" customFormat="1" ht="51.75" thickBot="1" x14ac:dyDescent="0.3">
      <c r="A18" s="41" t="s">
        <v>147</v>
      </c>
      <c r="B18" s="41" t="s">
        <v>186</v>
      </c>
      <c r="C18" s="41" t="s">
        <v>187</v>
      </c>
      <c r="D18" s="9">
        <v>0.106</v>
      </c>
      <c r="E18" s="30" t="s">
        <v>603</v>
      </c>
      <c r="F18" s="41" t="s">
        <v>149</v>
      </c>
      <c r="G18" s="7" t="s">
        <v>188</v>
      </c>
      <c r="H18" s="267"/>
      <c r="I18" s="267"/>
      <c r="J18" s="267"/>
      <c r="K18" s="267"/>
      <c r="L18" s="267"/>
      <c r="M18" s="267"/>
      <c r="N18" s="267"/>
      <c r="O18" s="267"/>
    </row>
    <row r="19" spans="1:15" s="186" customFormat="1" ht="51.75" thickBot="1" x14ac:dyDescent="0.3">
      <c r="A19" s="41" t="s">
        <v>147</v>
      </c>
      <c r="B19" s="41" t="s">
        <v>189</v>
      </c>
      <c r="C19" s="41" t="s">
        <v>190</v>
      </c>
      <c r="D19" s="9">
        <v>0.14599999999999999</v>
      </c>
      <c r="E19" s="30" t="s">
        <v>603</v>
      </c>
      <c r="F19" s="41" t="s">
        <v>149</v>
      </c>
      <c r="G19" s="7" t="s">
        <v>188</v>
      </c>
      <c r="H19" s="267"/>
      <c r="I19" s="267"/>
      <c r="J19" s="267"/>
      <c r="K19" s="267"/>
      <c r="L19" s="267"/>
      <c r="M19" s="267"/>
      <c r="N19" s="267"/>
      <c r="O19" s="267"/>
    </row>
    <row r="20" spans="1:15" s="186" customFormat="1" ht="51.75" thickBot="1" x14ac:dyDescent="0.3">
      <c r="A20" s="41" t="s">
        <v>147</v>
      </c>
      <c r="B20" s="41" t="s">
        <v>191</v>
      </c>
      <c r="C20" s="41" t="s">
        <v>192</v>
      </c>
      <c r="D20" s="9">
        <v>0.12</v>
      </c>
      <c r="E20" s="30" t="s">
        <v>603</v>
      </c>
      <c r="F20" s="41" t="s">
        <v>149</v>
      </c>
      <c r="G20" s="7" t="s">
        <v>188</v>
      </c>
      <c r="H20" s="267"/>
      <c r="I20" s="267"/>
      <c r="J20" s="267"/>
      <c r="K20" s="267"/>
      <c r="L20" s="267"/>
      <c r="M20" s="267"/>
      <c r="N20" s="267"/>
      <c r="O20" s="267"/>
    </row>
    <row r="21" spans="1:15" s="186" customFormat="1" ht="51.75" thickBot="1" x14ac:dyDescent="0.3">
      <c r="A21" s="41" t="s">
        <v>147</v>
      </c>
      <c r="B21" s="41" t="s">
        <v>193</v>
      </c>
      <c r="C21" s="41" t="s">
        <v>194</v>
      </c>
      <c r="D21" s="9">
        <v>5.8000000000000003E-2</v>
      </c>
      <c r="E21" s="30" t="s">
        <v>603</v>
      </c>
      <c r="F21" s="41" t="s">
        <v>149</v>
      </c>
      <c r="G21" s="7" t="s">
        <v>195</v>
      </c>
      <c r="H21" s="267"/>
      <c r="I21" s="267"/>
      <c r="J21" s="267"/>
      <c r="K21" s="267"/>
      <c r="L21" s="267"/>
      <c r="M21" s="267"/>
      <c r="N21" s="267"/>
      <c r="O21" s="267"/>
    </row>
    <row r="22" spans="1:15" s="186" customFormat="1" ht="64.5" thickBot="1" x14ac:dyDescent="0.3">
      <c r="A22" s="41" t="s">
        <v>147</v>
      </c>
      <c r="B22" s="41" t="s">
        <v>196</v>
      </c>
      <c r="C22" s="41" t="s">
        <v>197</v>
      </c>
      <c r="D22" s="9">
        <v>4.7E-2</v>
      </c>
      <c r="E22" s="30" t="s">
        <v>603</v>
      </c>
      <c r="F22" s="41" t="s">
        <v>149</v>
      </c>
      <c r="G22" s="7" t="s">
        <v>198</v>
      </c>
      <c r="H22" s="267"/>
      <c r="I22" s="267"/>
      <c r="J22" s="267"/>
      <c r="K22" s="267"/>
      <c r="L22" s="267"/>
      <c r="M22" s="267"/>
      <c r="N22" s="267"/>
      <c r="O22" s="267"/>
    </row>
    <row r="23" spans="1:15" s="186" customFormat="1" ht="51.75" thickBot="1" x14ac:dyDescent="0.3">
      <c r="A23" s="41" t="s">
        <v>147</v>
      </c>
      <c r="B23" s="41" t="s">
        <v>199</v>
      </c>
      <c r="C23" s="41" t="s">
        <v>200</v>
      </c>
      <c r="D23" s="9">
        <v>1.2999999999999999E-2</v>
      </c>
      <c r="E23" s="30" t="s">
        <v>603</v>
      </c>
      <c r="F23" s="41" t="s">
        <v>149</v>
      </c>
      <c r="G23" s="7" t="s">
        <v>201</v>
      </c>
      <c r="H23" s="267"/>
      <c r="I23" s="267"/>
      <c r="J23" s="267"/>
      <c r="K23" s="267"/>
      <c r="L23" s="267"/>
      <c r="M23" s="267"/>
      <c r="N23" s="267"/>
      <c r="O23" s="267"/>
    </row>
    <row r="24" spans="1:15" s="186" customFormat="1" ht="90" thickBot="1" x14ac:dyDescent="0.3">
      <c r="A24" s="41" t="s">
        <v>147</v>
      </c>
      <c r="B24" s="41" t="s">
        <v>202</v>
      </c>
      <c r="C24" s="41" t="s">
        <v>203</v>
      </c>
      <c r="D24" s="9">
        <v>9.0999999999999998E-2</v>
      </c>
      <c r="E24" s="30" t="s">
        <v>603</v>
      </c>
      <c r="F24" s="41" t="s">
        <v>149</v>
      </c>
      <c r="G24" s="7" t="s">
        <v>204</v>
      </c>
      <c r="H24" s="267"/>
      <c r="I24" s="267"/>
      <c r="J24" s="267"/>
      <c r="K24" s="267"/>
      <c r="L24" s="267"/>
      <c r="M24" s="267"/>
      <c r="N24" s="267"/>
      <c r="O24" s="267"/>
    </row>
    <row r="25" spans="1:15" s="186" customFormat="1" ht="115.5" thickBot="1" x14ac:dyDescent="0.3">
      <c r="A25" s="41" t="s">
        <v>147</v>
      </c>
      <c r="B25" s="41" t="s">
        <v>205</v>
      </c>
      <c r="C25" s="41" t="s">
        <v>206</v>
      </c>
      <c r="D25" s="9">
        <v>4.5999999999999999E-2</v>
      </c>
      <c r="E25" s="30" t="s">
        <v>603</v>
      </c>
      <c r="F25" s="41" t="s">
        <v>149</v>
      </c>
      <c r="G25" s="7" t="s">
        <v>207</v>
      </c>
      <c r="H25" s="267"/>
      <c r="I25" s="267"/>
      <c r="J25" s="267"/>
      <c r="K25" s="267"/>
      <c r="L25" s="267"/>
      <c r="M25" s="267"/>
      <c r="N25" s="267"/>
      <c r="O25" s="267"/>
    </row>
    <row r="26" spans="1:15" s="186" customFormat="1" ht="128.25" thickBot="1" x14ac:dyDescent="0.3">
      <c r="A26" s="41" t="s">
        <v>147</v>
      </c>
      <c r="B26" s="41" t="s">
        <v>208</v>
      </c>
      <c r="C26" s="41" t="s">
        <v>209</v>
      </c>
      <c r="D26" s="9">
        <v>1.4999999999999999E-2</v>
      </c>
      <c r="E26" s="30" t="s">
        <v>603</v>
      </c>
      <c r="F26" s="41" t="s">
        <v>149</v>
      </c>
      <c r="G26" s="7" t="s">
        <v>204</v>
      </c>
      <c r="H26" s="267"/>
      <c r="I26" s="267"/>
      <c r="J26" s="267"/>
      <c r="K26" s="267"/>
      <c r="L26" s="267"/>
      <c r="M26" s="267"/>
      <c r="N26" s="267"/>
      <c r="O26" s="267"/>
    </row>
    <row r="27" spans="1:15" s="186" customFormat="1" ht="90" thickBot="1" x14ac:dyDescent="0.3">
      <c r="A27" s="41" t="s">
        <v>147</v>
      </c>
      <c r="B27" s="41" t="s">
        <v>210</v>
      </c>
      <c r="C27" s="41" t="s">
        <v>211</v>
      </c>
      <c r="D27" s="9">
        <v>0.03</v>
      </c>
      <c r="E27" s="30" t="s">
        <v>603</v>
      </c>
      <c r="F27" s="41" t="s">
        <v>149</v>
      </c>
      <c r="G27" s="7" t="s">
        <v>212</v>
      </c>
      <c r="H27" s="267"/>
      <c r="I27" s="267"/>
      <c r="J27" s="267"/>
      <c r="K27" s="267"/>
      <c r="L27" s="267"/>
      <c r="M27" s="267"/>
      <c r="N27" s="267"/>
      <c r="O27" s="267"/>
    </row>
    <row r="28" spans="1:15" s="186" customFormat="1" ht="102.75" thickBot="1" x14ac:dyDescent="0.3">
      <c r="A28" s="41" t="s">
        <v>147</v>
      </c>
      <c r="B28" s="41" t="s">
        <v>213</v>
      </c>
      <c r="C28" s="41" t="s">
        <v>214</v>
      </c>
      <c r="D28" s="9">
        <v>0.22600000000000001</v>
      </c>
      <c r="E28" s="30" t="s">
        <v>603</v>
      </c>
      <c r="F28" s="41" t="s">
        <v>149</v>
      </c>
      <c r="G28" s="7" t="s">
        <v>215</v>
      </c>
      <c r="H28" s="267"/>
      <c r="I28" s="267"/>
      <c r="J28" s="267"/>
      <c r="K28" s="267"/>
      <c r="L28" s="267"/>
      <c r="M28" s="267"/>
      <c r="N28" s="267"/>
      <c r="O28" s="267"/>
    </row>
    <row r="29" spans="1:15" s="186" customFormat="1" ht="128.25" thickBot="1" x14ac:dyDescent="0.3">
      <c r="A29" s="41" t="s">
        <v>147</v>
      </c>
      <c r="B29" s="41" t="s">
        <v>216</v>
      </c>
      <c r="C29" s="41" t="s">
        <v>217</v>
      </c>
      <c r="D29" s="9">
        <v>0.24199999999999999</v>
      </c>
      <c r="E29" s="30" t="s">
        <v>603</v>
      </c>
      <c r="F29" s="41" t="s">
        <v>149</v>
      </c>
      <c r="G29" s="7" t="s">
        <v>215</v>
      </c>
      <c r="H29" s="267"/>
      <c r="I29" s="267"/>
      <c r="J29" s="267"/>
      <c r="K29" s="267"/>
      <c r="L29" s="267"/>
      <c r="M29" s="267"/>
      <c r="N29" s="267"/>
      <c r="O29" s="267"/>
    </row>
    <row r="30" spans="1:15" s="186" customFormat="1" ht="115.5" thickBot="1" x14ac:dyDescent="0.3">
      <c r="A30" s="41" t="s">
        <v>147</v>
      </c>
      <c r="B30" s="41" t="s">
        <v>218</v>
      </c>
      <c r="C30" s="41" t="s">
        <v>219</v>
      </c>
      <c r="D30" s="9">
        <v>0.24199999999999999</v>
      </c>
      <c r="E30" s="30" t="s">
        <v>603</v>
      </c>
      <c r="F30" s="41" t="s">
        <v>149</v>
      </c>
      <c r="G30" s="7" t="s">
        <v>220</v>
      </c>
      <c r="H30" s="267"/>
      <c r="I30" s="267"/>
      <c r="J30" s="267"/>
      <c r="K30" s="267"/>
      <c r="L30" s="267"/>
      <c r="M30" s="267"/>
      <c r="N30" s="267"/>
      <c r="O30" s="267"/>
    </row>
    <row r="31" spans="1:15" s="186" customFormat="1" ht="115.5" thickBot="1" x14ac:dyDescent="0.3">
      <c r="A31" s="41" t="s">
        <v>147</v>
      </c>
      <c r="B31" s="41" t="s">
        <v>221</v>
      </c>
      <c r="C31" s="41" t="s">
        <v>222</v>
      </c>
      <c r="D31" s="9">
        <v>0.254</v>
      </c>
      <c r="E31" s="30" t="s">
        <v>603</v>
      </c>
      <c r="F31" s="41" t="s">
        <v>149</v>
      </c>
      <c r="G31" s="7" t="s">
        <v>223</v>
      </c>
      <c r="H31" s="267"/>
      <c r="I31" s="267"/>
      <c r="J31" s="267"/>
      <c r="K31" s="267"/>
      <c r="L31" s="267"/>
      <c r="M31" s="267"/>
      <c r="N31" s="267"/>
      <c r="O31" s="267"/>
    </row>
    <row r="32" spans="1:15" s="186" customFormat="1" ht="141" thickBot="1" x14ac:dyDescent="0.3">
      <c r="A32" s="41" t="s">
        <v>147</v>
      </c>
      <c r="B32" s="41" t="s">
        <v>224</v>
      </c>
      <c r="C32" s="41" t="s">
        <v>225</v>
      </c>
      <c r="D32" s="9">
        <v>0.188</v>
      </c>
      <c r="E32" s="30" t="s">
        <v>603</v>
      </c>
      <c r="F32" s="41" t="s">
        <v>149</v>
      </c>
      <c r="G32" s="7" t="s">
        <v>215</v>
      </c>
      <c r="H32" s="267"/>
      <c r="I32" s="267"/>
      <c r="J32" s="267"/>
      <c r="K32" s="267"/>
      <c r="L32" s="267"/>
      <c r="M32" s="267"/>
      <c r="N32" s="267"/>
      <c r="O32" s="267"/>
    </row>
    <row r="33" spans="1:15" s="186" customFormat="1" ht="153.75" thickBot="1" x14ac:dyDescent="0.3">
      <c r="A33" s="41" t="s">
        <v>147</v>
      </c>
      <c r="B33" s="41" t="s">
        <v>226</v>
      </c>
      <c r="C33" s="41" t="s">
        <v>227</v>
      </c>
      <c r="D33" s="9">
        <v>0.18</v>
      </c>
      <c r="E33" s="30" t="s">
        <v>603</v>
      </c>
      <c r="F33" s="41" t="s">
        <v>149</v>
      </c>
      <c r="G33" s="7" t="s">
        <v>215</v>
      </c>
      <c r="H33" s="267"/>
      <c r="I33" s="267"/>
      <c r="J33" s="267"/>
      <c r="K33" s="267"/>
      <c r="L33" s="267"/>
      <c r="M33" s="267"/>
      <c r="N33" s="267"/>
      <c r="O33" s="267"/>
    </row>
    <row r="34" spans="1:15" s="186" customFormat="1" ht="153.75" thickBot="1" x14ac:dyDescent="0.3">
      <c r="A34" s="41" t="s">
        <v>147</v>
      </c>
      <c r="B34" s="41" t="s">
        <v>228</v>
      </c>
      <c r="C34" s="41" t="s">
        <v>229</v>
      </c>
      <c r="D34" s="9">
        <v>0.20699999999999999</v>
      </c>
      <c r="E34" s="30" t="s">
        <v>603</v>
      </c>
      <c r="F34" s="41" t="s">
        <v>149</v>
      </c>
      <c r="G34" s="7" t="s">
        <v>215</v>
      </c>
      <c r="H34" s="267"/>
      <c r="I34" s="267"/>
      <c r="J34" s="267"/>
      <c r="K34" s="267"/>
      <c r="L34" s="267"/>
      <c r="M34" s="267"/>
      <c r="N34" s="267"/>
      <c r="O34" s="267"/>
    </row>
    <row r="35" spans="1:15" s="186" customFormat="1" ht="51.75" thickBot="1" x14ac:dyDescent="0.3">
      <c r="A35" s="41" t="s">
        <v>147</v>
      </c>
      <c r="B35" s="41" t="s">
        <v>230</v>
      </c>
      <c r="C35" s="41" t="s">
        <v>231</v>
      </c>
      <c r="D35" s="9">
        <v>0.23</v>
      </c>
      <c r="E35" s="30" t="s">
        <v>603</v>
      </c>
      <c r="F35" s="41" t="s">
        <v>149</v>
      </c>
      <c r="G35" s="7" t="s">
        <v>232</v>
      </c>
      <c r="H35" s="267"/>
      <c r="I35" s="267"/>
      <c r="J35" s="267"/>
      <c r="K35" s="267"/>
      <c r="L35" s="267"/>
      <c r="M35" s="267"/>
      <c r="N35" s="267"/>
      <c r="O35" s="267"/>
    </row>
    <row r="36" spans="1:15" s="186" customFormat="1" ht="51.75" thickBot="1" x14ac:dyDescent="0.3">
      <c r="A36" s="41" t="s">
        <v>147</v>
      </c>
      <c r="B36" s="41" t="s">
        <v>233</v>
      </c>
      <c r="C36" s="41" t="s">
        <v>234</v>
      </c>
      <c r="D36" s="9">
        <v>2.12</v>
      </c>
      <c r="E36" s="30" t="s">
        <v>603</v>
      </c>
      <c r="F36" s="41" t="s">
        <v>149</v>
      </c>
      <c r="G36" s="7" t="s">
        <v>235</v>
      </c>
      <c r="H36" s="267"/>
      <c r="I36" s="267"/>
      <c r="J36" s="267"/>
      <c r="K36" s="267"/>
      <c r="L36" s="267"/>
      <c r="M36" s="267"/>
      <c r="N36" s="267"/>
      <c r="O36" s="267"/>
    </row>
    <row r="37" spans="1:15" s="186" customFormat="1" ht="51.75" thickBot="1" x14ac:dyDescent="0.3">
      <c r="A37" s="41" t="s">
        <v>147</v>
      </c>
      <c r="B37" s="41" t="s">
        <v>236</v>
      </c>
      <c r="C37" s="41" t="s">
        <v>237</v>
      </c>
      <c r="D37" s="9">
        <v>0.155</v>
      </c>
      <c r="E37" s="30" t="s">
        <v>603</v>
      </c>
      <c r="F37" s="41" t="s">
        <v>149</v>
      </c>
      <c r="G37" s="7" t="s">
        <v>238</v>
      </c>
      <c r="H37" s="267"/>
      <c r="I37" s="267"/>
      <c r="J37" s="267"/>
      <c r="K37" s="267"/>
      <c r="L37" s="267"/>
      <c r="M37" s="267"/>
      <c r="N37" s="267"/>
      <c r="O37" s="267"/>
    </row>
    <row r="38" spans="1:15" s="186" customFormat="1" ht="102.75" thickBot="1" x14ac:dyDescent="0.3">
      <c r="A38" s="41" t="s">
        <v>147</v>
      </c>
      <c r="B38" s="41" t="s">
        <v>239</v>
      </c>
      <c r="C38" s="41" t="s">
        <v>240</v>
      </c>
      <c r="D38" s="9">
        <v>0.23</v>
      </c>
      <c r="E38" s="30" t="s">
        <v>603</v>
      </c>
      <c r="F38" s="41" t="s">
        <v>149</v>
      </c>
      <c r="G38" s="7" t="s">
        <v>241</v>
      </c>
      <c r="H38" s="267"/>
      <c r="I38" s="267"/>
      <c r="J38" s="267"/>
      <c r="K38" s="267"/>
      <c r="L38" s="267"/>
      <c r="M38" s="267"/>
      <c r="N38" s="267"/>
      <c r="O38" s="267"/>
    </row>
    <row r="39" spans="1:15" s="186" customFormat="1" ht="51.75" thickBot="1" x14ac:dyDescent="0.3">
      <c r="A39" s="41" t="s">
        <v>147</v>
      </c>
      <c r="B39" s="41" t="s">
        <v>242</v>
      </c>
      <c r="C39" s="41" t="s">
        <v>243</v>
      </c>
      <c r="D39" s="9">
        <v>6.6000000000000003E-2</v>
      </c>
      <c r="E39" s="30" t="s">
        <v>603</v>
      </c>
      <c r="F39" s="41" t="s">
        <v>149</v>
      </c>
      <c r="G39" s="7" t="s">
        <v>244</v>
      </c>
      <c r="H39" s="267"/>
      <c r="I39" s="267"/>
      <c r="J39" s="267"/>
      <c r="K39" s="267"/>
      <c r="L39" s="267"/>
      <c r="M39" s="267"/>
      <c r="N39" s="267"/>
      <c r="O39" s="267"/>
    </row>
    <row r="40" spans="1:15" s="186" customFormat="1" ht="51.75" thickBot="1" x14ac:dyDescent="0.3">
      <c r="A40" s="41" t="s">
        <v>147</v>
      </c>
      <c r="B40" s="41" t="s">
        <v>245</v>
      </c>
      <c r="C40" s="41" t="s">
        <v>246</v>
      </c>
      <c r="D40" s="9">
        <v>0.18099999999999999</v>
      </c>
      <c r="E40" s="30" t="s">
        <v>603</v>
      </c>
      <c r="F40" s="41" t="s">
        <v>149</v>
      </c>
      <c r="G40" s="7" t="s">
        <v>247</v>
      </c>
      <c r="H40" s="267"/>
      <c r="I40" s="267"/>
      <c r="J40" s="267"/>
      <c r="K40" s="267"/>
      <c r="L40" s="267"/>
      <c r="M40" s="267"/>
      <c r="N40" s="267"/>
      <c r="O40" s="267"/>
    </row>
    <row r="41" spans="1:15" s="186" customFormat="1" ht="64.5" thickBot="1" x14ac:dyDescent="0.3">
      <c r="A41" s="41" t="s">
        <v>147</v>
      </c>
      <c r="B41" s="41" t="s">
        <v>248</v>
      </c>
      <c r="C41" s="41" t="s">
        <v>249</v>
      </c>
      <c r="D41" s="9">
        <v>0.753</v>
      </c>
      <c r="E41" s="30" t="s">
        <v>603</v>
      </c>
      <c r="F41" s="41" t="s">
        <v>149</v>
      </c>
      <c r="G41" s="7" t="s">
        <v>250</v>
      </c>
      <c r="H41" s="267"/>
      <c r="I41" s="267"/>
      <c r="J41" s="267"/>
      <c r="K41" s="267"/>
      <c r="L41" s="267"/>
      <c r="M41" s="267"/>
      <c r="N41" s="267"/>
      <c r="O41" s="267"/>
    </row>
    <row r="42" spans="1:15" s="186" customFormat="1" ht="67.5" thickBot="1" x14ac:dyDescent="0.3">
      <c r="A42" s="41" t="s">
        <v>147</v>
      </c>
      <c r="B42" s="41" t="s">
        <v>664</v>
      </c>
      <c r="C42" s="41" t="s">
        <v>251</v>
      </c>
      <c r="D42" s="9">
        <v>2.2800000000000001E-2</v>
      </c>
      <c r="E42" s="30" t="s">
        <v>603</v>
      </c>
      <c r="F42" s="41" t="s">
        <v>149</v>
      </c>
      <c r="G42" s="263" t="s">
        <v>252</v>
      </c>
      <c r="H42" s="267"/>
      <c r="I42" s="267"/>
      <c r="J42" s="267"/>
      <c r="K42" s="267"/>
      <c r="L42" s="267"/>
      <c r="M42" s="267"/>
      <c r="N42" s="267"/>
      <c r="O42" s="267"/>
    </row>
    <row r="43" spans="1:15" s="186" customFormat="1" ht="64.5" thickBot="1" x14ac:dyDescent="0.3">
      <c r="A43" s="41" t="s">
        <v>147</v>
      </c>
      <c r="B43" s="41" t="s">
        <v>253</v>
      </c>
      <c r="C43" s="41" t="s">
        <v>254</v>
      </c>
      <c r="D43" s="9">
        <v>0.215</v>
      </c>
      <c r="E43" s="30" t="s">
        <v>603</v>
      </c>
      <c r="F43" s="41" t="s">
        <v>149</v>
      </c>
      <c r="G43" s="7" t="s">
        <v>255</v>
      </c>
      <c r="H43" s="267"/>
      <c r="I43" s="267"/>
      <c r="J43" s="267"/>
      <c r="K43" s="267"/>
      <c r="L43" s="267"/>
      <c r="M43" s="267"/>
      <c r="N43" s="267"/>
      <c r="O43" s="267"/>
    </row>
    <row r="44" spans="1:15" s="186" customFormat="1" ht="90" thickBot="1" x14ac:dyDescent="0.3">
      <c r="A44" s="41" t="s">
        <v>147</v>
      </c>
      <c r="B44" s="41" t="s">
        <v>256</v>
      </c>
      <c r="C44" s="41" t="s">
        <v>257</v>
      </c>
      <c r="D44" s="9">
        <v>0.26800000000000002</v>
      </c>
      <c r="E44" s="30" t="s">
        <v>603</v>
      </c>
      <c r="F44" s="41" t="s">
        <v>149</v>
      </c>
      <c r="G44" s="7" t="s">
        <v>258</v>
      </c>
      <c r="H44" s="267"/>
      <c r="I44" s="267"/>
      <c r="J44" s="267"/>
      <c r="K44" s="267"/>
      <c r="L44" s="267"/>
      <c r="M44" s="267"/>
      <c r="N44" s="267"/>
      <c r="O44" s="267"/>
    </row>
    <row r="45" spans="1:15" s="186" customFormat="1" ht="51.75" thickBot="1" x14ac:dyDescent="0.3">
      <c r="A45" s="41" t="s">
        <v>147</v>
      </c>
      <c r="B45" s="41" t="s">
        <v>259</v>
      </c>
      <c r="C45" s="41" t="s">
        <v>260</v>
      </c>
      <c r="D45" s="9">
        <v>0.28199999999999997</v>
      </c>
      <c r="E45" s="30" t="s">
        <v>603</v>
      </c>
      <c r="F45" s="41" t="s">
        <v>149</v>
      </c>
      <c r="G45" s="7" t="s">
        <v>261</v>
      </c>
      <c r="H45" s="267"/>
      <c r="I45" s="267"/>
      <c r="J45" s="267"/>
      <c r="K45" s="267"/>
      <c r="L45" s="267"/>
      <c r="M45" s="267"/>
      <c r="N45" s="267"/>
      <c r="O45" s="267"/>
    </row>
    <row r="46" spans="1:15" s="186" customFormat="1" ht="51.75" thickBot="1" x14ac:dyDescent="0.3">
      <c r="A46" s="41" t="s">
        <v>147</v>
      </c>
      <c r="B46" s="41" t="s">
        <v>262</v>
      </c>
      <c r="C46" s="41" t="s">
        <v>58</v>
      </c>
      <c r="D46" s="9">
        <v>0.53600000000000003</v>
      </c>
      <c r="E46" s="30" t="s">
        <v>603</v>
      </c>
      <c r="F46" s="41" t="s">
        <v>149</v>
      </c>
      <c r="G46" s="7" t="s">
        <v>263</v>
      </c>
      <c r="H46" s="267"/>
      <c r="I46" s="267"/>
      <c r="J46" s="267"/>
      <c r="K46" s="267"/>
      <c r="L46" s="267"/>
      <c r="M46" s="267"/>
      <c r="N46" s="267"/>
      <c r="O46" s="267"/>
    </row>
    <row r="47" spans="1:15" s="186" customFormat="1" ht="77.25" thickBot="1" x14ac:dyDescent="0.3">
      <c r="A47" s="41" t="s">
        <v>147</v>
      </c>
      <c r="B47" s="41" t="s">
        <v>264</v>
      </c>
      <c r="C47" s="41" t="s">
        <v>265</v>
      </c>
      <c r="D47" s="9">
        <v>0.11</v>
      </c>
      <c r="E47" s="30" t="s">
        <v>603</v>
      </c>
      <c r="F47" s="41" t="s">
        <v>149</v>
      </c>
      <c r="G47" s="7" t="s">
        <v>266</v>
      </c>
      <c r="H47" s="267"/>
      <c r="I47" s="267"/>
      <c r="J47" s="267"/>
      <c r="K47" s="267"/>
      <c r="L47" s="267"/>
      <c r="M47" s="267"/>
      <c r="N47" s="267"/>
      <c r="O47" s="267"/>
    </row>
    <row r="48" spans="1:15" s="186" customFormat="1" ht="51.75" thickBot="1" x14ac:dyDescent="0.3">
      <c r="A48" s="41" t="s">
        <v>147</v>
      </c>
      <c r="B48" s="41" t="s">
        <v>267</v>
      </c>
      <c r="C48" s="41" t="s">
        <v>268</v>
      </c>
      <c r="D48" s="9">
        <v>1.4850000000000001</v>
      </c>
      <c r="E48" s="30" t="s">
        <v>603</v>
      </c>
      <c r="F48" s="41" t="s">
        <v>149</v>
      </c>
      <c r="G48" s="7" t="s">
        <v>269</v>
      </c>
      <c r="H48" s="267"/>
      <c r="I48" s="267"/>
      <c r="J48" s="267"/>
      <c r="K48" s="267"/>
      <c r="L48" s="267"/>
      <c r="M48" s="267"/>
      <c r="N48" s="267"/>
      <c r="O48" s="267"/>
    </row>
    <row r="49" spans="1:15" s="186" customFormat="1" ht="51.75" thickBot="1" x14ac:dyDescent="0.3">
      <c r="A49" s="41" t="s">
        <v>147</v>
      </c>
      <c r="B49" s="41" t="s">
        <v>270</v>
      </c>
      <c r="C49" s="41" t="s">
        <v>271</v>
      </c>
      <c r="D49" s="9">
        <v>1.57</v>
      </c>
      <c r="E49" s="30" t="s">
        <v>603</v>
      </c>
      <c r="F49" s="41" t="s">
        <v>149</v>
      </c>
      <c r="G49" s="7" t="s">
        <v>272</v>
      </c>
      <c r="H49" s="267"/>
      <c r="I49" s="267"/>
      <c r="J49" s="267"/>
      <c r="K49" s="267"/>
      <c r="L49" s="267"/>
      <c r="M49" s="267"/>
      <c r="N49" s="267"/>
      <c r="O49" s="267"/>
    </row>
    <row r="50" spans="1:15" s="186" customFormat="1" ht="90" thickBot="1" x14ac:dyDescent="0.3">
      <c r="A50" s="41" t="s">
        <v>147</v>
      </c>
      <c r="B50" s="41" t="s">
        <v>273</v>
      </c>
      <c r="C50" s="41" t="s">
        <v>274</v>
      </c>
      <c r="D50" s="9">
        <v>0.68100000000000005</v>
      </c>
      <c r="E50" s="30" t="s">
        <v>603</v>
      </c>
      <c r="F50" s="41" t="s">
        <v>149</v>
      </c>
      <c r="G50" s="7" t="s">
        <v>275</v>
      </c>
      <c r="H50" s="267"/>
      <c r="I50" s="267"/>
      <c r="J50" s="267"/>
      <c r="K50" s="267"/>
      <c r="L50" s="267"/>
      <c r="M50" s="267"/>
      <c r="N50" s="267"/>
      <c r="O50" s="267"/>
    </row>
    <row r="51" spans="1:15" s="186" customFormat="1" ht="64.5" thickBot="1" x14ac:dyDescent="0.3">
      <c r="A51" s="41" t="s">
        <v>147</v>
      </c>
      <c r="B51" s="41" t="s">
        <v>665</v>
      </c>
      <c r="C51" s="41" t="s">
        <v>276</v>
      </c>
      <c r="D51" s="9">
        <v>2.2800000000000001E-2</v>
      </c>
      <c r="E51" s="30" t="s">
        <v>603</v>
      </c>
      <c r="F51" s="41" t="s">
        <v>149</v>
      </c>
      <c r="G51" s="7" t="s">
        <v>277</v>
      </c>
      <c r="H51" s="267"/>
      <c r="I51" s="267"/>
      <c r="J51" s="267"/>
      <c r="K51" s="267"/>
      <c r="L51" s="267"/>
      <c r="M51" s="267"/>
      <c r="N51" s="267"/>
      <c r="O51" s="267"/>
    </row>
    <row r="52" spans="1:15" s="186" customFormat="1" ht="51.75" thickBot="1" x14ac:dyDescent="0.3">
      <c r="A52" s="41" t="s">
        <v>147</v>
      </c>
      <c r="B52" s="41" t="s">
        <v>278</v>
      </c>
      <c r="C52" s="41" t="s">
        <v>279</v>
      </c>
      <c r="D52" s="9">
        <v>0.40100000000000002</v>
      </c>
      <c r="E52" s="30" t="s">
        <v>603</v>
      </c>
      <c r="F52" s="41" t="s">
        <v>149</v>
      </c>
      <c r="G52" s="7" t="s">
        <v>280</v>
      </c>
      <c r="H52" s="267"/>
      <c r="I52" s="267"/>
      <c r="J52" s="267"/>
      <c r="K52" s="267"/>
      <c r="L52" s="267"/>
      <c r="M52" s="267"/>
      <c r="N52" s="267"/>
      <c r="O52" s="267"/>
    </row>
    <row r="53" spans="1:15" s="186" customFormat="1" ht="90" thickBot="1" x14ac:dyDescent="0.3">
      <c r="A53" s="41" t="s">
        <v>147</v>
      </c>
      <c r="B53" s="41" t="s">
        <v>281</v>
      </c>
      <c r="C53" s="41" t="s">
        <v>74</v>
      </c>
      <c r="D53" s="9">
        <v>6.84</v>
      </c>
      <c r="E53" s="30" t="s">
        <v>603</v>
      </c>
      <c r="F53" s="41" t="s">
        <v>149</v>
      </c>
      <c r="G53" s="7" t="s">
        <v>282</v>
      </c>
      <c r="H53" s="267"/>
      <c r="I53" s="267"/>
      <c r="J53" s="267"/>
      <c r="K53" s="267"/>
      <c r="L53" s="267"/>
      <c r="M53" s="267"/>
      <c r="N53" s="267"/>
      <c r="O53" s="267"/>
    </row>
    <row r="54" spans="1:15" s="186" customFormat="1" ht="90" thickBot="1" x14ac:dyDescent="0.3">
      <c r="A54" s="41" t="s">
        <v>147</v>
      </c>
      <c r="B54" s="41" t="s">
        <v>283</v>
      </c>
      <c r="C54" s="41" t="s">
        <v>284</v>
      </c>
      <c r="D54" s="9">
        <v>0.187</v>
      </c>
      <c r="E54" s="30" t="s">
        <v>603</v>
      </c>
      <c r="F54" s="41" t="s">
        <v>149</v>
      </c>
      <c r="G54" s="7" t="s">
        <v>285</v>
      </c>
      <c r="H54" s="267"/>
      <c r="I54" s="267"/>
      <c r="J54" s="267"/>
      <c r="K54" s="267"/>
      <c r="L54" s="267"/>
      <c r="M54" s="267"/>
      <c r="N54" s="267"/>
      <c r="O54" s="267"/>
    </row>
    <row r="55" spans="1:15" s="186" customFormat="1" ht="90" thickBot="1" x14ac:dyDescent="0.3">
      <c r="A55" s="41" t="s">
        <v>147</v>
      </c>
      <c r="B55" s="41" t="s">
        <v>286</v>
      </c>
      <c r="C55" s="41" t="s">
        <v>287</v>
      </c>
      <c r="D55" s="9">
        <v>0.38900000000000001</v>
      </c>
      <c r="E55" s="30" t="s">
        <v>603</v>
      </c>
      <c r="F55" s="41" t="s">
        <v>149</v>
      </c>
      <c r="G55" s="7" t="s">
        <v>288</v>
      </c>
      <c r="H55" s="267"/>
      <c r="I55" s="267"/>
      <c r="J55" s="267"/>
      <c r="K55" s="267"/>
      <c r="L55" s="267"/>
      <c r="M55" s="267"/>
      <c r="N55" s="267"/>
      <c r="O55" s="267"/>
    </row>
    <row r="56" spans="1:15" s="186" customFormat="1" ht="51.75" thickBot="1" x14ac:dyDescent="0.3">
      <c r="A56" s="41" t="s">
        <v>147</v>
      </c>
      <c r="B56" s="41" t="s">
        <v>289</v>
      </c>
      <c r="C56" s="41" t="s">
        <v>290</v>
      </c>
      <c r="D56" s="9">
        <v>47.3</v>
      </c>
      <c r="E56" s="30" t="s">
        <v>666</v>
      </c>
      <c r="F56" s="41" t="s">
        <v>149</v>
      </c>
      <c r="G56" s="7" t="s">
        <v>17</v>
      </c>
      <c r="H56" s="267"/>
      <c r="I56" s="267"/>
      <c r="J56" s="267"/>
      <c r="K56" s="267"/>
      <c r="L56" s="267"/>
      <c r="M56" s="267"/>
      <c r="N56" s="267"/>
      <c r="O56" s="267"/>
    </row>
    <row r="57" spans="1:15" s="186" customFormat="1" ht="26.25" thickBot="1" x14ac:dyDescent="0.3">
      <c r="A57" s="41" t="s">
        <v>291</v>
      </c>
      <c r="B57" s="41" t="s">
        <v>622</v>
      </c>
      <c r="C57" s="41" t="s">
        <v>292</v>
      </c>
      <c r="D57" s="47">
        <v>0.17599999999999999</v>
      </c>
      <c r="E57" s="41" t="s">
        <v>293</v>
      </c>
      <c r="F57" s="41" t="s">
        <v>294</v>
      </c>
      <c r="G57" s="76" t="s">
        <v>524</v>
      </c>
      <c r="H57" s="267"/>
      <c r="I57" s="267"/>
      <c r="J57" s="267"/>
      <c r="K57" s="267"/>
      <c r="L57" s="267"/>
      <c r="M57" s="267"/>
      <c r="N57" s="267"/>
      <c r="O57" s="267"/>
    </row>
    <row r="58" spans="1:15" s="186" customFormat="1" ht="26.25" thickBot="1" x14ac:dyDescent="0.3">
      <c r="A58" s="41" t="s">
        <v>291</v>
      </c>
      <c r="B58" s="41" t="s">
        <v>622</v>
      </c>
      <c r="C58" s="41" t="s">
        <v>292</v>
      </c>
      <c r="D58" s="47">
        <v>48.8</v>
      </c>
      <c r="E58" s="30" t="s">
        <v>666</v>
      </c>
      <c r="F58" s="41" t="s">
        <v>294</v>
      </c>
      <c r="G58" s="76" t="s">
        <v>524</v>
      </c>
      <c r="H58" s="267"/>
      <c r="I58" s="267"/>
      <c r="J58" s="267"/>
      <c r="K58" s="267"/>
      <c r="L58" s="267"/>
      <c r="M58" s="267"/>
      <c r="N58" s="267"/>
      <c r="O58" s="267"/>
    </row>
    <row r="59" spans="1:15" s="186" customFormat="1" ht="26.25" thickBot="1" x14ac:dyDescent="0.3">
      <c r="A59" s="41" t="s">
        <v>296</v>
      </c>
      <c r="B59" s="41" t="s">
        <v>93</v>
      </c>
      <c r="C59" s="41" t="s">
        <v>297</v>
      </c>
      <c r="D59" s="47">
        <v>0.20200000000000001</v>
      </c>
      <c r="E59" s="42" t="s">
        <v>298</v>
      </c>
      <c r="F59" s="77" t="s">
        <v>299</v>
      </c>
      <c r="G59" s="76" t="s">
        <v>671</v>
      </c>
      <c r="H59" s="267"/>
      <c r="I59" s="267"/>
      <c r="J59" s="267"/>
      <c r="K59" s="267"/>
      <c r="L59" s="267"/>
      <c r="M59" s="267"/>
      <c r="N59" s="267"/>
      <c r="O59" s="267"/>
    </row>
    <row r="60" spans="1:15" s="186" customFormat="1" ht="26.25" thickBot="1" x14ac:dyDescent="0.3">
      <c r="A60" s="41" t="s">
        <v>296</v>
      </c>
      <c r="B60" s="41" t="s">
        <v>93</v>
      </c>
      <c r="C60" s="41" t="s">
        <v>297</v>
      </c>
      <c r="D60" s="47">
        <v>56.2</v>
      </c>
      <c r="E60" s="30" t="s">
        <v>666</v>
      </c>
      <c r="F60" s="77" t="s">
        <v>299</v>
      </c>
      <c r="G60" s="7" t="s">
        <v>17</v>
      </c>
      <c r="H60" s="267"/>
      <c r="I60" s="267"/>
      <c r="J60" s="267"/>
      <c r="K60" s="267"/>
      <c r="L60" s="267"/>
      <c r="M60" s="267"/>
      <c r="N60" s="267"/>
      <c r="O60" s="267"/>
    </row>
    <row r="61" spans="1:15" s="186" customFormat="1" ht="16.5" thickBot="1" x14ac:dyDescent="0.3">
      <c r="A61" s="41" t="s">
        <v>296</v>
      </c>
      <c r="B61" s="41"/>
      <c r="C61" s="41" t="s">
        <v>300</v>
      </c>
      <c r="D61" s="47">
        <v>97.1</v>
      </c>
      <c r="E61" s="30" t="s">
        <v>666</v>
      </c>
      <c r="F61" s="41" t="s">
        <v>301</v>
      </c>
      <c r="G61" s="76"/>
      <c r="H61" s="267"/>
      <c r="I61" s="267"/>
      <c r="J61" s="267"/>
      <c r="K61" s="267"/>
      <c r="L61" s="267"/>
      <c r="M61" s="267"/>
      <c r="N61" s="267"/>
      <c r="O61" s="267"/>
    </row>
    <row r="62" spans="1:15" s="186" customFormat="1" ht="16.5" thickBot="1" x14ac:dyDescent="0.3">
      <c r="A62" s="41" t="s">
        <v>302</v>
      </c>
      <c r="B62" s="41"/>
      <c r="C62" s="41" t="s">
        <v>303</v>
      </c>
      <c r="D62" s="106">
        <v>80.400000000000006</v>
      </c>
      <c r="E62" s="30" t="s">
        <v>666</v>
      </c>
      <c r="F62" s="41" t="s">
        <v>301</v>
      </c>
      <c r="G62" s="76" t="s">
        <v>304</v>
      </c>
      <c r="H62" s="267"/>
      <c r="I62" s="267"/>
      <c r="J62" s="267"/>
      <c r="K62" s="267"/>
      <c r="L62" s="267"/>
      <c r="M62" s="267"/>
      <c r="N62" s="267"/>
      <c r="O62" s="267"/>
    </row>
    <row r="63" spans="1:15" s="186" customFormat="1" ht="16.5" thickBot="1" x14ac:dyDescent="0.3">
      <c r="A63" s="41" t="s">
        <v>302</v>
      </c>
      <c r="B63" s="41"/>
      <c r="C63" s="41" t="s">
        <v>305</v>
      </c>
      <c r="D63" s="106">
        <v>78.900000000000006</v>
      </c>
      <c r="E63" s="30" t="s">
        <v>666</v>
      </c>
      <c r="F63" s="41" t="s">
        <v>301</v>
      </c>
      <c r="G63" s="76" t="s">
        <v>304</v>
      </c>
      <c r="H63" s="267"/>
      <c r="I63" s="267"/>
      <c r="J63" s="267"/>
      <c r="K63" s="267"/>
      <c r="L63" s="267"/>
      <c r="M63" s="267"/>
      <c r="N63" s="267"/>
      <c r="O63" s="267"/>
    </row>
    <row r="64" spans="1:15" s="186" customFormat="1" ht="16.5" thickBot="1" x14ac:dyDescent="0.3">
      <c r="A64" s="41" t="s">
        <v>302</v>
      </c>
      <c r="B64" s="41"/>
      <c r="C64" s="41" t="s">
        <v>306</v>
      </c>
      <c r="D64" s="106">
        <v>65.400000000000006</v>
      </c>
      <c r="E64" s="30" t="s">
        <v>666</v>
      </c>
      <c r="F64" s="41" t="s">
        <v>301</v>
      </c>
      <c r="G64" s="76" t="s">
        <v>304</v>
      </c>
      <c r="H64" s="267"/>
      <c r="I64" s="267"/>
      <c r="J64" s="267"/>
      <c r="K64" s="267"/>
      <c r="L64" s="267"/>
      <c r="M64" s="267"/>
      <c r="N64" s="267"/>
      <c r="O64" s="267"/>
    </row>
    <row r="65" spans="1:15" s="186" customFormat="1" ht="16.5" thickBot="1" x14ac:dyDescent="0.3">
      <c r="A65" s="41" t="s">
        <v>302</v>
      </c>
      <c r="B65" s="41"/>
      <c r="C65" s="41" t="s">
        <v>307</v>
      </c>
      <c r="D65" s="106">
        <v>78.3</v>
      </c>
      <c r="E65" s="30" t="s">
        <v>666</v>
      </c>
      <c r="F65" s="41" t="s">
        <v>301</v>
      </c>
      <c r="G65" s="76" t="s">
        <v>304</v>
      </c>
      <c r="H65" s="267"/>
      <c r="I65" s="267"/>
      <c r="J65" s="267"/>
      <c r="K65" s="267"/>
      <c r="L65" s="267"/>
      <c r="M65" s="267"/>
      <c r="N65" s="267"/>
      <c r="O65" s="267"/>
    </row>
    <row r="66" spans="1:15" s="186" customFormat="1" ht="16.5" thickBot="1" x14ac:dyDescent="0.3">
      <c r="A66" s="41" t="s">
        <v>302</v>
      </c>
      <c r="B66" s="41"/>
      <c r="C66" s="41" t="s">
        <v>308</v>
      </c>
      <c r="D66" s="106">
        <v>78.900000000000006</v>
      </c>
      <c r="E66" s="30" t="s">
        <v>666</v>
      </c>
      <c r="F66" s="41" t="s">
        <v>301</v>
      </c>
      <c r="G66" s="76" t="s">
        <v>304</v>
      </c>
      <c r="H66" s="267"/>
      <c r="I66" s="267"/>
      <c r="J66" s="267"/>
      <c r="K66" s="267"/>
      <c r="L66" s="267"/>
      <c r="M66" s="267"/>
      <c r="N66" s="267"/>
      <c r="O66" s="267"/>
    </row>
    <row r="67" spans="1:15" s="186" customFormat="1" ht="26.25" thickBot="1" x14ac:dyDescent="0.3">
      <c r="A67" s="41" t="s">
        <v>302</v>
      </c>
      <c r="B67" s="41"/>
      <c r="C67" s="41" t="s">
        <v>309</v>
      </c>
      <c r="D67" s="106">
        <v>78</v>
      </c>
      <c r="E67" s="30" t="s">
        <v>666</v>
      </c>
      <c r="F67" s="41" t="s">
        <v>301</v>
      </c>
      <c r="G67" s="76" t="s">
        <v>304</v>
      </c>
      <c r="H67" s="267"/>
      <c r="I67" s="267"/>
      <c r="J67" s="267"/>
      <c r="K67" s="267"/>
      <c r="L67" s="267"/>
      <c r="M67" s="267"/>
      <c r="N67" s="267"/>
      <c r="O67" s="267"/>
    </row>
    <row r="68" spans="1:15" s="186" customFormat="1" ht="16.5" thickBot="1" x14ac:dyDescent="0.3">
      <c r="A68" s="41" t="s">
        <v>302</v>
      </c>
      <c r="B68" s="41"/>
      <c r="C68" s="41" t="s">
        <v>310</v>
      </c>
      <c r="D68" s="106">
        <v>75.5</v>
      </c>
      <c r="E68" s="30" t="s">
        <v>666</v>
      </c>
      <c r="F68" s="41" t="s">
        <v>301</v>
      </c>
      <c r="G68" s="76" t="s">
        <v>304</v>
      </c>
      <c r="H68" s="267"/>
      <c r="I68" s="267"/>
      <c r="J68" s="267"/>
      <c r="K68" s="267"/>
      <c r="L68" s="267"/>
      <c r="M68" s="267"/>
      <c r="N68" s="267"/>
      <c r="O68" s="267"/>
    </row>
    <row r="69" spans="1:15" ht="15.75" thickBot="1" x14ac:dyDescent="0.3"/>
    <row r="70" spans="1:15" s="265" customFormat="1" ht="16.5" thickBot="1" x14ac:dyDescent="0.3">
      <c r="A70" s="264" t="s">
        <v>311</v>
      </c>
      <c r="B70" s="74"/>
      <c r="C70" s="73"/>
      <c r="D70" s="73"/>
      <c r="E70" s="75"/>
      <c r="F70" s="164"/>
      <c r="G70" s="164"/>
      <c r="H70" s="164"/>
      <c r="I70" s="164"/>
      <c r="J70" s="164"/>
      <c r="K70" s="164"/>
      <c r="L70" s="164"/>
      <c r="M70" s="164"/>
      <c r="N70" s="164"/>
      <c r="O70" s="164"/>
    </row>
    <row r="71" spans="1:15" s="186" customFormat="1" ht="13.5" thickBot="1" x14ac:dyDescent="0.3">
      <c r="A71" s="290" t="s">
        <v>126</v>
      </c>
      <c r="B71" s="290" t="s">
        <v>97</v>
      </c>
      <c r="C71" s="290" t="s">
        <v>145</v>
      </c>
      <c r="D71" s="290" t="s">
        <v>98</v>
      </c>
      <c r="E71" s="290" t="s">
        <v>99</v>
      </c>
      <c r="F71" s="290" t="s">
        <v>146</v>
      </c>
      <c r="G71" s="290" t="s">
        <v>77</v>
      </c>
      <c r="H71" s="290" t="s">
        <v>432</v>
      </c>
      <c r="I71" s="290"/>
      <c r="J71" s="290"/>
      <c r="K71" s="290"/>
      <c r="L71" s="290"/>
      <c r="M71" s="290"/>
      <c r="N71" s="290"/>
      <c r="O71" s="290"/>
    </row>
    <row r="72" spans="1:15" s="186" customFormat="1" ht="51.75" thickBot="1" x14ac:dyDescent="0.3">
      <c r="A72" s="290"/>
      <c r="B72" s="290"/>
      <c r="C72" s="290"/>
      <c r="D72" s="290"/>
      <c r="E72" s="290"/>
      <c r="F72" s="290"/>
      <c r="G72" s="290"/>
      <c r="H72" s="40" t="s">
        <v>696</v>
      </c>
      <c r="I72" s="40" t="s">
        <v>697</v>
      </c>
      <c r="J72" s="40" t="s">
        <v>132</v>
      </c>
      <c r="K72" s="40" t="s">
        <v>129</v>
      </c>
      <c r="L72" s="40" t="s">
        <v>698</v>
      </c>
      <c r="M72" s="40" t="s">
        <v>699</v>
      </c>
      <c r="N72" s="40" t="s">
        <v>130</v>
      </c>
      <c r="O72" s="40" t="s">
        <v>131</v>
      </c>
    </row>
    <row r="73" spans="1:15" ht="15.75" thickBot="1" x14ac:dyDescent="0.3">
      <c r="A73" s="41"/>
      <c r="B73" s="41"/>
      <c r="C73" s="41"/>
      <c r="D73" s="9"/>
      <c r="E73" s="42"/>
      <c r="F73" s="41"/>
      <c r="G73" s="7" t="s">
        <v>17</v>
      </c>
      <c r="H73" s="258"/>
      <c r="I73" s="258"/>
      <c r="J73" s="259"/>
      <c r="K73" s="260"/>
      <c r="L73" s="260"/>
      <c r="M73" s="260"/>
      <c r="N73" s="260"/>
      <c r="O73" s="260"/>
    </row>
    <row r="74" spans="1:15" ht="15.75" thickBot="1" x14ac:dyDescent="0.3">
      <c r="A74" s="41"/>
      <c r="B74" s="41"/>
      <c r="C74" s="41"/>
      <c r="D74" s="9"/>
      <c r="E74" s="42"/>
      <c r="F74" s="41"/>
      <c r="G74" s="7" t="s">
        <v>17</v>
      </c>
      <c r="H74" s="258"/>
      <c r="I74" s="258"/>
      <c r="J74" s="259"/>
      <c r="K74" s="260"/>
      <c r="L74" s="260"/>
      <c r="M74" s="260"/>
      <c r="N74" s="260"/>
      <c r="O74" s="260"/>
    </row>
    <row r="75" spans="1:15" ht="15.75" thickBot="1" x14ac:dyDescent="0.3">
      <c r="A75" s="41"/>
      <c r="B75" s="41"/>
      <c r="C75" s="41"/>
      <c r="D75" s="9"/>
      <c r="E75" s="42"/>
      <c r="F75" s="41"/>
      <c r="G75" s="7" t="s">
        <v>17</v>
      </c>
      <c r="H75" s="258"/>
      <c r="I75" s="258"/>
      <c r="J75" s="259"/>
      <c r="K75" s="260"/>
      <c r="L75" s="260"/>
      <c r="M75" s="260"/>
      <c r="N75" s="260"/>
      <c r="O75" s="260"/>
    </row>
    <row r="76" spans="1:15" ht="15.75" thickBot="1" x14ac:dyDescent="0.3">
      <c r="A76" s="41"/>
      <c r="B76" s="41"/>
      <c r="C76" s="41"/>
      <c r="D76" s="9"/>
      <c r="E76" s="42"/>
      <c r="F76" s="41"/>
      <c r="G76" s="7" t="s">
        <v>17</v>
      </c>
      <c r="H76" s="258"/>
      <c r="I76" s="258"/>
      <c r="J76" s="259"/>
      <c r="K76" s="260"/>
      <c r="L76" s="260"/>
      <c r="M76" s="260"/>
      <c r="N76" s="260"/>
      <c r="O76" s="260"/>
    </row>
  </sheetData>
  <mergeCells count="16">
    <mergeCell ref="A2:A3"/>
    <mergeCell ref="H2:O2"/>
    <mergeCell ref="G2:G3"/>
    <mergeCell ref="F2:F3"/>
    <mergeCell ref="E2:E3"/>
    <mergeCell ref="D2:D3"/>
    <mergeCell ref="F71:F72"/>
    <mergeCell ref="G71:G72"/>
    <mergeCell ref="H71:O71"/>
    <mergeCell ref="C2:C3"/>
    <mergeCell ref="B2:B3"/>
    <mergeCell ref="A71:A72"/>
    <mergeCell ref="B71:B72"/>
    <mergeCell ref="C71:C72"/>
    <mergeCell ref="D71:D72"/>
    <mergeCell ref="E71:E72"/>
  </mergeCells>
  <dataValidations count="3">
    <dataValidation type="list" allowBlank="1" showInputMessage="1" showErrorMessage="1" sqref="H73:H76" xr:uid="{A0CF1962-DF12-4E22-83A9-8C80DE1760B2}">
      <formula1>"To be monitored,Not monitored"</formula1>
    </dataValidation>
    <dataValidation type="list" allowBlank="1" showInputMessage="1" showErrorMessage="1" sqref="J73:J76" xr:uid="{A75070E3-84CC-49AC-8C2D-B52A26253D64}">
      <formula1>"Primary Data,Third Party Data,Secondary Data - Calculated based on actual data,Secondary Data - Based on assumptions,Secondary Data - Extrapolation,Other evidence"</formula1>
    </dataValidation>
    <dataValidation type="list" allowBlank="1" showInputMessage="1" showErrorMessage="1" sqref="I73:I76" xr:uid="{8C445828-AC48-499D-A0ED-1D480C76FFB6}">
      <formula1>"Taken from data management platform,Internal control spreadsheet,Direct measurement,Estimated,Adoption of assumptions (please describe),Extrapolation (please describe),Sample (please describe),Other"</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O130"/>
  <sheetViews>
    <sheetView zoomScaleNormal="100" workbookViewId="0"/>
  </sheetViews>
  <sheetFormatPr defaultColWidth="9.140625" defaultRowHeight="15" x14ac:dyDescent="0.25"/>
  <cols>
    <col min="1" max="1" width="25.140625" style="29" customWidth="1"/>
    <col min="2" max="2" width="39" style="120" customWidth="1"/>
    <col min="3" max="3" width="36.140625" style="29" customWidth="1"/>
    <col min="4" max="4" width="13.5703125" style="29" customWidth="1"/>
    <col min="5" max="5" width="24.85546875" style="29" bestFit="1" customWidth="1"/>
    <col min="6" max="6" width="56.42578125" style="163" customWidth="1"/>
    <col min="7" max="7" width="44.140625" style="29" customWidth="1"/>
    <col min="8" max="8" width="18.140625" style="266" customWidth="1"/>
    <col min="9" max="9" width="22.140625" style="266" customWidth="1"/>
    <col min="10" max="10" width="22.85546875" style="266" customWidth="1"/>
    <col min="11" max="11" width="17.7109375" style="266" customWidth="1"/>
    <col min="12" max="12" width="21.28515625" style="266" customWidth="1"/>
    <col min="13" max="13" width="25.42578125" style="266" customWidth="1"/>
    <col min="14" max="14" width="17.42578125" style="266" customWidth="1"/>
    <col min="15" max="15" width="20.42578125" style="266" customWidth="1"/>
    <col min="16" max="16384" width="9.140625" style="29"/>
  </cols>
  <sheetData>
    <row r="1" spans="1:15" s="265" customFormat="1" ht="16.5" thickBot="1" x14ac:dyDescent="0.3">
      <c r="A1" s="264" t="s">
        <v>705</v>
      </c>
      <c r="B1" s="74"/>
      <c r="C1" s="73"/>
      <c r="D1" s="73"/>
      <c r="E1" s="75"/>
      <c r="F1" s="164"/>
      <c r="G1" s="164"/>
      <c r="H1" s="164"/>
      <c r="I1" s="164"/>
      <c r="J1" s="164"/>
      <c r="K1" s="164"/>
      <c r="L1" s="164"/>
      <c r="M1" s="164"/>
      <c r="N1" s="164"/>
      <c r="O1" s="164"/>
    </row>
    <row r="2" spans="1:15" s="186" customFormat="1" ht="13.5" thickBot="1" x14ac:dyDescent="0.3">
      <c r="A2" s="290" t="s">
        <v>126</v>
      </c>
      <c r="B2" s="290" t="s">
        <v>97</v>
      </c>
      <c r="C2" s="290" t="s">
        <v>145</v>
      </c>
      <c r="D2" s="290" t="s">
        <v>98</v>
      </c>
      <c r="E2" s="290" t="s">
        <v>99</v>
      </c>
      <c r="F2" s="290" t="s">
        <v>146</v>
      </c>
      <c r="G2" s="290" t="s">
        <v>77</v>
      </c>
      <c r="H2" s="290" t="s">
        <v>432</v>
      </c>
      <c r="I2" s="290"/>
      <c r="J2" s="290"/>
      <c r="K2" s="290"/>
      <c r="L2" s="290"/>
      <c r="M2" s="290"/>
      <c r="N2" s="290"/>
      <c r="O2" s="290"/>
    </row>
    <row r="3" spans="1:15" s="186" customFormat="1" ht="51.75" thickBot="1" x14ac:dyDescent="0.3">
      <c r="A3" s="290"/>
      <c r="B3" s="290"/>
      <c r="C3" s="290"/>
      <c r="D3" s="290"/>
      <c r="E3" s="290"/>
      <c r="F3" s="290"/>
      <c r="G3" s="290"/>
      <c r="H3" s="40" t="s">
        <v>696</v>
      </c>
      <c r="I3" s="40" t="s">
        <v>697</v>
      </c>
      <c r="J3" s="40" t="s">
        <v>132</v>
      </c>
      <c r="K3" s="40" t="s">
        <v>129</v>
      </c>
      <c r="L3" s="40" t="s">
        <v>698</v>
      </c>
      <c r="M3" s="40" t="s">
        <v>699</v>
      </c>
      <c r="N3" s="40" t="s">
        <v>130</v>
      </c>
      <c r="O3" s="40" t="s">
        <v>131</v>
      </c>
    </row>
    <row r="4" spans="1:15" s="1" customFormat="1" ht="27" customHeight="1" thickBot="1" x14ac:dyDescent="0.25">
      <c r="A4" s="41" t="s">
        <v>291</v>
      </c>
      <c r="B4" s="93" t="s">
        <v>521</v>
      </c>
      <c r="C4" s="43" t="s">
        <v>292</v>
      </c>
      <c r="D4" s="117">
        <v>0</v>
      </c>
      <c r="E4" s="42" t="s">
        <v>667</v>
      </c>
      <c r="F4" s="41" t="s">
        <v>294</v>
      </c>
      <c r="G4" s="76" t="s">
        <v>295</v>
      </c>
      <c r="H4" s="267"/>
      <c r="I4" s="267"/>
      <c r="J4" s="267"/>
      <c r="K4" s="267"/>
      <c r="L4" s="267"/>
      <c r="M4" s="267"/>
      <c r="N4" s="267"/>
      <c r="O4" s="267"/>
    </row>
    <row r="5" spans="1:15" s="1" customFormat="1" ht="27" customHeight="1" thickBot="1" x14ac:dyDescent="0.25">
      <c r="A5" s="41" t="s">
        <v>291</v>
      </c>
      <c r="B5" s="93" t="s">
        <v>522</v>
      </c>
      <c r="C5" s="43" t="s">
        <v>292</v>
      </c>
      <c r="D5" s="117">
        <v>48.8</v>
      </c>
      <c r="E5" s="42" t="s">
        <v>667</v>
      </c>
      <c r="F5" s="41" t="s">
        <v>294</v>
      </c>
      <c r="G5" s="76" t="s">
        <v>524</v>
      </c>
      <c r="H5" s="267"/>
      <c r="I5" s="267"/>
      <c r="J5" s="267"/>
      <c r="K5" s="267"/>
      <c r="L5" s="267"/>
      <c r="M5" s="267"/>
      <c r="N5" s="267"/>
      <c r="O5" s="267"/>
    </row>
    <row r="6" spans="1:15" s="1" customFormat="1" ht="27" customHeight="1" thickBot="1" x14ac:dyDescent="0.25">
      <c r="A6" s="41" t="s">
        <v>291</v>
      </c>
      <c r="B6" s="93" t="s">
        <v>523</v>
      </c>
      <c r="C6" s="43" t="s">
        <v>292</v>
      </c>
      <c r="D6" s="117">
        <v>140</v>
      </c>
      <c r="E6" s="42" t="s">
        <v>667</v>
      </c>
      <c r="F6" s="121" t="s">
        <v>605</v>
      </c>
      <c r="G6" s="116"/>
      <c r="H6" s="267"/>
      <c r="I6" s="267"/>
      <c r="J6" s="267"/>
      <c r="K6" s="267"/>
      <c r="L6" s="267"/>
      <c r="M6" s="267"/>
      <c r="N6" s="267"/>
      <c r="O6" s="267"/>
    </row>
    <row r="7" spans="1:15" s="1" customFormat="1" ht="27" customHeight="1" thickBot="1" x14ac:dyDescent="0.25">
      <c r="A7" s="41" t="s">
        <v>291</v>
      </c>
      <c r="B7" s="93" t="s">
        <v>720</v>
      </c>
      <c r="C7" s="43" t="s">
        <v>74</v>
      </c>
      <c r="D7" s="118">
        <v>0</v>
      </c>
      <c r="E7" s="30" t="s">
        <v>603</v>
      </c>
      <c r="F7" s="119" t="s">
        <v>301</v>
      </c>
      <c r="G7" s="116"/>
      <c r="H7" s="267"/>
      <c r="I7" s="267"/>
      <c r="J7" s="267"/>
      <c r="K7" s="267"/>
      <c r="L7" s="267"/>
      <c r="M7" s="267"/>
      <c r="N7" s="267"/>
      <c r="O7" s="267"/>
    </row>
    <row r="8" spans="1:15" s="1" customFormat="1" ht="27" customHeight="1" thickBot="1" x14ac:dyDescent="0.25">
      <c r="A8" s="41" t="s">
        <v>291</v>
      </c>
      <c r="B8" s="93" t="s">
        <v>721</v>
      </c>
      <c r="C8" s="43" t="s">
        <v>74</v>
      </c>
      <c r="D8" s="117">
        <v>2.4</v>
      </c>
      <c r="E8" s="30" t="s">
        <v>603</v>
      </c>
      <c r="F8" s="119" t="s">
        <v>301</v>
      </c>
      <c r="G8" s="116"/>
      <c r="H8" s="267"/>
      <c r="I8" s="267"/>
      <c r="J8" s="267"/>
      <c r="K8" s="267"/>
      <c r="L8" s="267"/>
      <c r="M8" s="267"/>
      <c r="N8" s="267"/>
      <c r="O8" s="267"/>
    </row>
    <row r="9" spans="1:15" s="1" customFormat="1" ht="27" customHeight="1" thickBot="1" x14ac:dyDescent="0.25">
      <c r="A9" s="41" t="s">
        <v>291</v>
      </c>
      <c r="B9" s="93" t="s">
        <v>525</v>
      </c>
      <c r="C9" s="43" t="s">
        <v>74</v>
      </c>
      <c r="D9" s="117">
        <v>6.84</v>
      </c>
      <c r="E9" s="30" t="s">
        <v>603</v>
      </c>
      <c r="F9" s="121" t="s">
        <v>149</v>
      </c>
      <c r="G9" s="116"/>
      <c r="H9" s="267"/>
      <c r="I9" s="267"/>
      <c r="J9" s="267"/>
      <c r="K9" s="267"/>
      <c r="L9" s="267"/>
      <c r="M9" s="267"/>
      <c r="N9" s="267"/>
      <c r="O9" s="267"/>
    </row>
    <row r="10" spans="1:15" s="1" customFormat="1" ht="27" customHeight="1" thickBot="1" x14ac:dyDescent="0.25">
      <c r="A10" s="41" t="s">
        <v>291</v>
      </c>
      <c r="B10" s="93" t="s">
        <v>669</v>
      </c>
      <c r="C10" s="43" t="s">
        <v>290</v>
      </c>
      <c r="D10" s="117">
        <v>47.3</v>
      </c>
      <c r="E10" s="42" t="s">
        <v>667</v>
      </c>
      <c r="F10" s="121" t="s">
        <v>149</v>
      </c>
      <c r="G10" s="116"/>
      <c r="H10" s="267"/>
      <c r="I10" s="267"/>
      <c r="J10" s="267"/>
      <c r="K10" s="267"/>
      <c r="L10" s="267"/>
      <c r="M10" s="267"/>
      <c r="N10" s="267"/>
      <c r="O10" s="267"/>
    </row>
    <row r="11" spans="1:15" s="1" customFormat="1" ht="27" customHeight="1" thickBot="1" x14ac:dyDescent="0.25">
      <c r="A11" s="41" t="s">
        <v>291</v>
      </c>
      <c r="B11" s="93" t="s">
        <v>722</v>
      </c>
      <c r="C11" s="43" t="s">
        <v>723</v>
      </c>
      <c r="D11" s="118">
        <v>0</v>
      </c>
      <c r="E11" s="42" t="s">
        <v>667</v>
      </c>
      <c r="F11" s="119" t="s">
        <v>301</v>
      </c>
      <c r="G11" s="116"/>
      <c r="H11" s="267"/>
      <c r="I11" s="267"/>
      <c r="J11" s="267"/>
      <c r="K11" s="267"/>
      <c r="L11" s="267"/>
      <c r="M11" s="267"/>
      <c r="N11" s="267"/>
      <c r="O11" s="267"/>
    </row>
    <row r="12" spans="1:15" s="1" customFormat="1" ht="27" customHeight="1" thickBot="1" x14ac:dyDescent="0.25">
      <c r="A12" s="41" t="s">
        <v>291</v>
      </c>
      <c r="B12" s="93" t="s">
        <v>724</v>
      </c>
      <c r="C12" s="43" t="s">
        <v>725</v>
      </c>
      <c r="D12" s="118">
        <v>20</v>
      </c>
      <c r="E12" s="42" t="s">
        <v>667</v>
      </c>
      <c r="F12" s="119" t="s">
        <v>301</v>
      </c>
      <c r="G12" s="116"/>
      <c r="H12" s="267"/>
      <c r="I12" s="267"/>
      <c r="J12" s="267"/>
      <c r="K12" s="267"/>
      <c r="L12" s="267"/>
      <c r="M12" s="267"/>
      <c r="N12" s="267"/>
      <c r="O12" s="267"/>
    </row>
    <row r="13" spans="1:15" s="1" customFormat="1" ht="27" customHeight="1" thickBot="1" x14ac:dyDescent="0.25">
      <c r="A13" s="41" t="s">
        <v>291</v>
      </c>
      <c r="B13" s="41" t="s">
        <v>312</v>
      </c>
      <c r="C13" s="43" t="s">
        <v>313</v>
      </c>
      <c r="D13" s="118">
        <v>73.540000000000006</v>
      </c>
      <c r="E13" s="42" t="s">
        <v>667</v>
      </c>
      <c r="F13" s="41" t="s">
        <v>314</v>
      </c>
      <c r="G13" s="7" t="s">
        <v>17</v>
      </c>
      <c r="H13" s="267"/>
      <c r="I13" s="267"/>
      <c r="J13" s="267"/>
      <c r="K13" s="267"/>
      <c r="L13" s="267"/>
      <c r="M13" s="267"/>
      <c r="N13" s="267"/>
      <c r="O13" s="267"/>
    </row>
    <row r="14" spans="1:15" s="1" customFormat="1" ht="27" customHeight="1" thickBot="1" x14ac:dyDescent="0.25">
      <c r="A14" s="41" t="s">
        <v>291</v>
      </c>
      <c r="B14" s="41" t="s">
        <v>312</v>
      </c>
      <c r="C14" s="43" t="s">
        <v>315</v>
      </c>
      <c r="D14" s="118">
        <v>71.739999999999995</v>
      </c>
      <c r="E14" s="42" t="s">
        <v>667</v>
      </c>
      <c r="F14" s="41" t="s">
        <v>314</v>
      </c>
      <c r="G14" s="7" t="s">
        <v>17</v>
      </c>
      <c r="H14" s="267"/>
      <c r="I14" s="267"/>
      <c r="J14" s="267"/>
      <c r="K14" s="267"/>
      <c r="L14" s="267"/>
      <c r="M14" s="267"/>
      <c r="N14" s="267"/>
      <c r="O14" s="267"/>
    </row>
    <row r="15" spans="1:15" s="1" customFormat="1" ht="27" customHeight="1" thickBot="1" x14ac:dyDescent="0.25">
      <c r="A15" s="41" t="s">
        <v>291</v>
      </c>
      <c r="B15" s="41" t="s">
        <v>312</v>
      </c>
      <c r="C15" s="43" t="s">
        <v>316</v>
      </c>
      <c r="D15" s="118">
        <v>74.34</v>
      </c>
      <c r="E15" s="42" t="s">
        <v>667</v>
      </c>
      <c r="F15" s="41" t="s">
        <v>314</v>
      </c>
      <c r="G15" s="7" t="s">
        <v>17</v>
      </c>
      <c r="H15" s="267"/>
      <c r="I15" s="267"/>
      <c r="J15" s="267"/>
      <c r="K15" s="267"/>
      <c r="L15" s="267"/>
      <c r="M15" s="267"/>
      <c r="N15" s="267"/>
      <c r="O15" s="267"/>
    </row>
    <row r="16" spans="1:15" s="1" customFormat="1" ht="27" customHeight="1" thickBot="1" x14ac:dyDescent="0.25">
      <c r="A16" s="41" t="s">
        <v>291</v>
      </c>
      <c r="B16" s="41" t="s">
        <v>312</v>
      </c>
      <c r="C16" s="43" t="s">
        <v>317</v>
      </c>
      <c r="D16" s="118">
        <v>77.64</v>
      </c>
      <c r="E16" s="42" t="s">
        <v>667</v>
      </c>
      <c r="F16" s="41" t="s">
        <v>314</v>
      </c>
      <c r="G16" s="7" t="s">
        <v>17</v>
      </c>
      <c r="H16" s="267"/>
      <c r="I16" s="267"/>
      <c r="J16" s="267"/>
      <c r="K16" s="267"/>
      <c r="L16" s="267"/>
      <c r="M16" s="267"/>
      <c r="N16" s="267"/>
      <c r="O16" s="267"/>
    </row>
    <row r="17" spans="1:15" s="1" customFormat="1" ht="27" customHeight="1" thickBot="1" x14ac:dyDescent="0.25">
      <c r="A17" s="41" t="s">
        <v>291</v>
      </c>
      <c r="B17" s="41" t="s">
        <v>312</v>
      </c>
      <c r="C17" s="43" t="s">
        <v>318</v>
      </c>
      <c r="D17" s="118">
        <v>72.14</v>
      </c>
      <c r="E17" s="42" t="s">
        <v>667</v>
      </c>
      <c r="F17" s="41" t="s">
        <v>314</v>
      </c>
      <c r="G17" s="7" t="s">
        <v>17</v>
      </c>
      <c r="H17" s="267"/>
      <c r="I17" s="267"/>
      <c r="J17" s="267"/>
      <c r="K17" s="267"/>
      <c r="L17" s="267"/>
      <c r="M17" s="267"/>
      <c r="N17" s="267"/>
      <c r="O17" s="267"/>
    </row>
    <row r="18" spans="1:15" s="1" customFormat="1" ht="27" customHeight="1" thickBot="1" x14ac:dyDescent="0.25">
      <c r="A18" s="41" t="s">
        <v>291</v>
      </c>
      <c r="B18" s="41" t="s">
        <v>312</v>
      </c>
      <c r="C18" s="43" t="s">
        <v>319</v>
      </c>
      <c r="D18" s="118">
        <v>63.15</v>
      </c>
      <c r="E18" s="42" t="s">
        <v>667</v>
      </c>
      <c r="F18" s="41" t="s">
        <v>314</v>
      </c>
      <c r="G18" s="7" t="s">
        <v>17</v>
      </c>
      <c r="H18" s="267"/>
      <c r="I18" s="267"/>
      <c r="J18" s="267"/>
      <c r="K18" s="267"/>
      <c r="L18" s="267"/>
      <c r="M18" s="267"/>
      <c r="N18" s="267"/>
      <c r="O18" s="267"/>
    </row>
    <row r="19" spans="1:15" s="1" customFormat="1" ht="27" customHeight="1" thickBot="1" x14ac:dyDescent="0.25">
      <c r="A19" s="41" t="s">
        <v>291</v>
      </c>
      <c r="B19" s="41" t="s">
        <v>312</v>
      </c>
      <c r="C19" s="43" t="s">
        <v>320</v>
      </c>
      <c r="D19" s="118">
        <v>73.540000000000006</v>
      </c>
      <c r="E19" s="42" t="s">
        <v>667</v>
      </c>
      <c r="F19" s="41" t="s">
        <v>314</v>
      </c>
      <c r="G19" s="7" t="s">
        <v>17</v>
      </c>
      <c r="H19" s="267"/>
      <c r="I19" s="267"/>
      <c r="J19" s="267"/>
      <c r="K19" s="267"/>
      <c r="L19" s="267"/>
      <c r="M19" s="267"/>
      <c r="N19" s="267"/>
      <c r="O19" s="267"/>
    </row>
    <row r="20" spans="1:15" s="1" customFormat="1" ht="27" customHeight="1" thickBot="1" x14ac:dyDescent="0.25">
      <c r="A20" s="41" t="s">
        <v>291</v>
      </c>
      <c r="B20" s="41" t="s">
        <v>312</v>
      </c>
      <c r="C20" s="43" t="s">
        <v>321</v>
      </c>
      <c r="D20" s="118">
        <v>97.74</v>
      </c>
      <c r="E20" s="42" t="s">
        <v>667</v>
      </c>
      <c r="F20" s="41" t="s">
        <v>314</v>
      </c>
      <c r="G20" s="7" t="s">
        <v>17</v>
      </c>
      <c r="H20" s="267"/>
      <c r="I20" s="267"/>
      <c r="J20" s="267"/>
      <c r="K20" s="267"/>
      <c r="L20" s="267"/>
      <c r="M20" s="267"/>
      <c r="N20" s="267"/>
      <c r="O20" s="267"/>
    </row>
    <row r="21" spans="1:15" s="1" customFormat="1" ht="27" customHeight="1" thickBot="1" x14ac:dyDescent="0.25">
      <c r="A21" s="41" t="s">
        <v>291</v>
      </c>
      <c r="B21" s="41" t="s">
        <v>312</v>
      </c>
      <c r="C21" s="43" t="s">
        <v>322</v>
      </c>
      <c r="D21" s="118">
        <v>98.73</v>
      </c>
      <c r="E21" s="42" t="s">
        <v>667</v>
      </c>
      <c r="F21" s="41" t="s">
        <v>314</v>
      </c>
      <c r="G21" s="7" t="s">
        <v>17</v>
      </c>
      <c r="H21" s="267"/>
      <c r="I21" s="267"/>
      <c r="J21" s="267"/>
      <c r="K21" s="267"/>
      <c r="L21" s="267"/>
      <c r="M21" s="267"/>
      <c r="N21" s="267"/>
      <c r="O21" s="267"/>
    </row>
    <row r="22" spans="1:15" s="1" customFormat="1" ht="27" customHeight="1" thickBot="1" x14ac:dyDescent="0.25">
      <c r="A22" s="41" t="s">
        <v>291</v>
      </c>
      <c r="B22" s="41" t="s">
        <v>312</v>
      </c>
      <c r="C22" s="43" t="s">
        <v>323</v>
      </c>
      <c r="D22" s="118">
        <v>95.03</v>
      </c>
      <c r="E22" s="42" t="s">
        <v>667</v>
      </c>
      <c r="F22" s="41" t="s">
        <v>314</v>
      </c>
      <c r="G22" s="7" t="s">
        <v>17</v>
      </c>
      <c r="H22" s="267"/>
      <c r="I22" s="267"/>
      <c r="J22" s="267"/>
      <c r="K22" s="267"/>
      <c r="L22" s="267"/>
      <c r="M22" s="267"/>
      <c r="N22" s="267"/>
      <c r="O22" s="267"/>
    </row>
    <row r="23" spans="1:15" s="1" customFormat="1" ht="27" customHeight="1" thickBot="1" x14ac:dyDescent="0.25">
      <c r="A23" s="41" t="s">
        <v>291</v>
      </c>
      <c r="B23" s="41" t="s">
        <v>312</v>
      </c>
      <c r="C23" s="43" t="s">
        <v>324</v>
      </c>
      <c r="D23" s="118">
        <v>95.03</v>
      </c>
      <c r="E23" s="42" t="s">
        <v>667</v>
      </c>
      <c r="F23" s="41" t="s">
        <v>314</v>
      </c>
      <c r="G23" s="7" t="s">
        <v>17</v>
      </c>
      <c r="H23" s="267"/>
      <c r="I23" s="267"/>
      <c r="J23" s="267"/>
      <c r="K23" s="267"/>
      <c r="L23" s="267"/>
      <c r="M23" s="267"/>
      <c r="N23" s="267"/>
      <c r="O23" s="267"/>
    </row>
    <row r="24" spans="1:15" s="1" customFormat="1" ht="27" customHeight="1" thickBot="1" x14ac:dyDescent="0.25">
      <c r="A24" s="41" t="s">
        <v>291</v>
      </c>
      <c r="B24" s="41" t="s">
        <v>312</v>
      </c>
      <c r="C24" s="43" t="s">
        <v>325</v>
      </c>
      <c r="D24" s="118">
        <v>96.53</v>
      </c>
      <c r="E24" s="42" t="s">
        <v>667</v>
      </c>
      <c r="F24" s="41" t="s">
        <v>314</v>
      </c>
      <c r="G24" s="7" t="s">
        <v>17</v>
      </c>
      <c r="H24" s="267"/>
      <c r="I24" s="267"/>
      <c r="J24" s="267"/>
      <c r="K24" s="267"/>
      <c r="L24" s="267"/>
      <c r="M24" s="267"/>
      <c r="N24" s="267"/>
      <c r="O24" s="267"/>
    </row>
    <row r="25" spans="1:15" s="1" customFormat="1" ht="27" customHeight="1" thickBot="1" x14ac:dyDescent="0.25">
      <c r="A25" s="41" t="s">
        <v>291</v>
      </c>
      <c r="B25" s="41" t="s">
        <v>312</v>
      </c>
      <c r="C25" s="43" t="s">
        <v>326</v>
      </c>
      <c r="D25" s="118">
        <v>101.43</v>
      </c>
      <c r="E25" s="42" t="s">
        <v>667</v>
      </c>
      <c r="F25" s="41" t="s">
        <v>314</v>
      </c>
      <c r="G25" s="7" t="s">
        <v>17</v>
      </c>
      <c r="H25" s="267"/>
      <c r="I25" s="267"/>
      <c r="J25" s="267"/>
      <c r="K25" s="267"/>
      <c r="L25" s="267"/>
      <c r="M25" s="267"/>
      <c r="N25" s="267"/>
      <c r="O25" s="267"/>
    </row>
    <row r="26" spans="1:15" s="1" customFormat="1" ht="27" customHeight="1" thickBot="1" x14ac:dyDescent="0.25">
      <c r="A26" s="41" t="s">
        <v>291</v>
      </c>
      <c r="B26" s="41" t="s">
        <v>312</v>
      </c>
      <c r="C26" s="43" t="s">
        <v>327</v>
      </c>
      <c r="D26" s="118">
        <v>107.43</v>
      </c>
      <c r="E26" s="42" t="s">
        <v>667</v>
      </c>
      <c r="F26" s="41" t="s">
        <v>314</v>
      </c>
      <c r="G26" s="7" t="s">
        <v>17</v>
      </c>
      <c r="H26" s="267"/>
      <c r="I26" s="267"/>
      <c r="J26" s="267"/>
      <c r="K26" s="267"/>
      <c r="L26" s="267"/>
      <c r="M26" s="267"/>
      <c r="N26" s="267"/>
      <c r="O26" s="267"/>
    </row>
    <row r="27" spans="1:15" s="1" customFormat="1" ht="27" customHeight="1" thickBot="1" x14ac:dyDescent="0.25">
      <c r="A27" s="41" t="s">
        <v>291</v>
      </c>
      <c r="B27" s="41" t="s">
        <v>312</v>
      </c>
      <c r="C27" s="43" t="s">
        <v>297</v>
      </c>
      <c r="D27" s="118">
        <v>56.2</v>
      </c>
      <c r="E27" s="42" t="s">
        <v>667</v>
      </c>
      <c r="F27" s="41" t="s">
        <v>314</v>
      </c>
      <c r="G27" s="7" t="s">
        <v>17</v>
      </c>
      <c r="H27" s="267"/>
      <c r="I27" s="267"/>
      <c r="J27" s="267"/>
      <c r="K27" s="267"/>
      <c r="L27" s="267"/>
      <c r="M27" s="267"/>
      <c r="N27" s="267"/>
      <c r="O27" s="267"/>
    </row>
    <row r="28" spans="1:15" s="1" customFormat="1" ht="27" customHeight="1" thickBot="1" x14ac:dyDescent="0.25">
      <c r="A28" s="41" t="s">
        <v>291</v>
      </c>
      <c r="B28" s="41" t="s">
        <v>328</v>
      </c>
      <c r="C28" s="43" t="s">
        <v>329</v>
      </c>
      <c r="D28" s="118">
        <f>4571.9</f>
        <v>4571.8999999999996</v>
      </c>
      <c r="E28" s="42" t="s">
        <v>604</v>
      </c>
      <c r="F28" s="41" t="s">
        <v>330</v>
      </c>
      <c r="G28" s="32"/>
      <c r="H28" s="267"/>
      <c r="I28" s="267"/>
      <c r="J28" s="267"/>
      <c r="K28" s="267"/>
      <c r="L28" s="267"/>
      <c r="M28" s="267"/>
      <c r="N28" s="267"/>
      <c r="O28" s="267"/>
    </row>
    <row r="29" spans="1:15" s="1" customFormat="1" ht="27" customHeight="1" thickBot="1" x14ac:dyDescent="0.25">
      <c r="A29" s="41" t="s">
        <v>291</v>
      </c>
      <c r="B29" s="41" t="s">
        <v>328</v>
      </c>
      <c r="C29" s="43" t="s">
        <v>331</v>
      </c>
      <c r="D29" s="118">
        <f>541.7</f>
        <v>541.70000000000005</v>
      </c>
      <c r="E29" s="42" t="s">
        <v>604</v>
      </c>
      <c r="F29" s="41" t="s">
        <v>330</v>
      </c>
      <c r="G29" s="32"/>
      <c r="H29" s="267"/>
      <c r="I29" s="267"/>
      <c r="J29" s="267"/>
      <c r="K29" s="267"/>
      <c r="L29" s="267"/>
      <c r="M29" s="267"/>
      <c r="N29" s="267"/>
      <c r="O29" s="267"/>
    </row>
    <row r="30" spans="1:15" s="1" customFormat="1" ht="27" customHeight="1" thickBot="1" x14ac:dyDescent="0.25">
      <c r="A30" s="41" t="s">
        <v>291</v>
      </c>
      <c r="B30" s="41" t="s">
        <v>328</v>
      </c>
      <c r="C30" s="43" t="s">
        <v>332</v>
      </c>
      <c r="D30" s="118">
        <f>416.7</f>
        <v>416.7</v>
      </c>
      <c r="E30" s="42" t="s">
        <v>604</v>
      </c>
      <c r="F30" s="41" t="s">
        <v>330</v>
      </c>
      <c r="G30" s="32"/>
      <c r="H30" s="267"/>
      <c r="I30" s="267"/>
      <c r="J30" s="267"/>
      <c r="K30" s="267"/>
      <c r="L30" s="267"/>
      <c r="M30" s="267"/>
      <c r="N30" s="267"/>
      <c r="O30" s="267"/>
    </row>
    <row r="31" spans="1:15" s="1" customFormat="1" ht="27" customHeight="1" thickBot="1" x14ac:dyDescent="0.25">
      <c r="A31" s="41" t="s">
        <v>291</v>
      </c>
      <c r="B31" s="41" t="s">
        <v>328</v>
      </c>
      <c r="C31" s="43" t="s">
        <v>333</v>
      </c>
      <c r="D31" s="118">
        <f>69.7</f>
        <v>69.7</v>
      </c>
      <c r="E31" s="42" t="s">
        <v>604</v>
      </c>
      <c r="F31" s="41" t="s">
        <v>330</v>
      </c>
      <c r="G31" s="32"/>
      <c r="H31" s="267"/>
      <c r="I31" s="267"/>
      <c r="J31" s="267"/>
      <c r="K31" s="267"/>
      <c r="L31" s="267"/>
      <c r="M31" s="267"/>
      <c r="N31" s="267"/>
      <c r="O31" s="267"/>
    </row>
    <row r="32" spans="1:15" s="1" customFormat="1" ht="27" customHeight="1" thickBot="1" x14ac:dyDescent="0.25">
      <c r="A32" s="41" t="s">
        <v>291</v>
      </c>
      <c r="B32" s="41" t="s">
        <v>328</v>
      </c>
      <c r="C32" s="43" t="s">
        <v>334</v>
      </c>
      <c r="D32" s="118">
        <f>12010.7</f>
        <v>12010.7</v>
      </c>
      <c r="E32" s="42" t="s">
        <v>604</v>
      </c>
      <c r="F32" s="41" t="s">
        <v>330</v>
      </c>
      <c r="G32" s="32"/>
      <c r="H32" s="267"/>
      <c r="I32" s="267"/>
      <c r="J32" s="267"/>
      <c r="K32" s="267"/>
      <c r="L32" s="267"/>
      <c r="M32" s="267"/>
      <c r="N32" s="267"/>
      <c r="O32" s="267"/>
    </row>
    <row r="33" spans="1:15" s="1" customFormat="1" ht="27" customHeight="1" thickBot="1" x14ac:dyDescent="0.25">
      <c r="A33" s="41" t="s">
        <v>291</v>
      </c>
      <c r="B33" s="41" t="s">
        <v>328</v>
      </c>
      <c r="C33" s="43" t="s">
        <v>335</v>
      </c>
      <c r="D33" s="118">
        <f>1193.2</f>
        <v>1193.2</v>
      </c>
      <c r="E33" s="42" t="s">
        <v>604</v>
      </c>
      <c r="F33" s="41" t="s">
        <v>330</v>
      </c>
      <c r="G33" s="32"/>
      <c r="H33" s="267"/>
      <c r="I33" s="267"/>
      <c r="J33" s="267"/>
      <c r="K33" s="267"/>
      <c r="L33" s="267"/>
      <c r="M33" s="267"/>
      <c r="N33" s="267"/>
      <c r="O33" s="267"/>
    </row>
    <row r="34" spans="1:15" s="1" customFormat="1" ht="27" customHeight="1" thickBot="1" x14ac:dyDescent="0.25">
      <c r="A34" s="41" t="s">
        <v>291</v>
      </c>
      <c r="B34" s="41" t="s">
        <v>328</v>
      </c>
      <c r="C34" s="43" t="s">
        <v>336</v>
      </c>
      <c r="D34" s="118">
        <f>1061.1</f>
        <v>1061.0999999999999</v>
      </c>
      <c r="E34" s="42" t="s">
        <v>604</v>
      </c>
      <c r="F34" s="41" t="s">
        <v>330</v>
      </c>
      <c r="G34" s="32"/>
      <c r="H34" s="267"/>
      <c r="I34" s="267"/>
      <c r="J34" s="267"/>
      <c r="K34" s="267"/>
      <c r="L34" s="267"/>
      <c r="M34" s="267"/>
      <c r="N34" s="267"/>
      <c r="O34" s="267"/>
    </row>
    <row r="35" spans="1:15" s="1" customFormat="1" ht="27" customHeight="1" thickBot="1" x14ac:dyDescent="0.25">
      <c r="A35" s="41" t="s">
        <v>291</v>
      </c>
      <c r="B35" s="41" t="s">
        <v>328</v>
      </c>
      <c r="C35" s="43" t="s">
        <v>337</v>
      </c>
      <c r="D35" s="118">
        <f>1245.1</f>
        <v>1245.0999999999999</v>
      </c>
      <c r="E35" s="42" t="s">
        <v>604</v>
      </c>
      <c r="F35" s="41" t="s">
        <v>330</v>
      </c>
      <c r="G35" s="32"/>
      <c r="H35" s="267"/>
      <c r="I35" s="267"/>
      <c r="J35" s="267"/>
      <c r="K35" s="267"/>
      <c r="L35" s="267"/>
      <c r="M35" s="267"/>
      <c r="N35" s="267"/>
      <c r="O35" s="267"/>
    </row>
    <row r="36" spans="1:15" s="1" customFormat="1" ht="27" customHeight="1" thickBot="1" x14ac:dyDescent="0.25">
      <c r="A36" s="41" t="s">
        <v>291</v>
      </c>
      <c r="B36" s="41" t="s">
        <v>328</v>
      </c>
      <c r="C36" s="43" t="s">
        <v>338</v>
      </c>
      <c r="D36" s="118">
        <f>13.3</f>
        <v>13.3</v>
      </c>
      <c r="E36" s="42" t="s">
        <v>604</v>
      </c>
      <c r="F36" s="41" t="s">
        <v>330</v>
      </c>
      <c r="G36" s="32"/>
      <c r="H36" s="267"/>
      <c r="I36" s="267"/>
      <c r="J36" s="267"/>
      <c r="K36" s="267"/>
      <c r="L36" s="267"/>
      <c r="M36" s="267"/>
      <c r="N36" s="267"/>
      <c r="O36" s="267"/>
    </row>
    <row r="37" spans="1:15" s="1" customFormat="1" ht="27" customHeight="1" thickBot="1" x14ac:dyDescent="0.25">
      <c r="A37" s="41" t="s">
        <v>291</v>
      </c>
      <c r="B37" s="41" t="s">
        <v>328</v>
      </c>
      <c r="C37" s="43" t="s">
        <v>339</v>
      </c>
      <c r="D37" s="118">
        <f>529.7</f>
        <v>529.70000000000005</v>
      </c>
      <c r="E37" s="42" t="s">
        <v>604</v>
      </c>
      <c r="F37" s="41" t="s">
        <v>330</v>
      </c>
      <c r="G37" s="32"/>
      <c r="H37" s="267"/>
      <c r="I37" s="267"/>
      <c r="J37" s="267"/>
      <c r="K37" s="267"/>
      <c r="L37" s="267"/>
      <c r="M37" s="267"/>
      <c r="N37" s="267"/>
      <c r="O37" s="267"/>
    </row>
    <row r="38" spans="1:15" s="1" customFormat="1" ht="27" customHeight="1" thickBot="1" x14ac:dyDescent="0.25">
      <c r="A38" s="41" t="s">
        <v>291</v>
      </c>
      <c r="B38" s="41" t="s">
        <v>328</v>
      </c>
      <c r="C38" s="43" t="s">
        <v>271</v>
      </c>
      <c r="D38" s="118">
        <f>2351.3</f>
        <v>2351.3000000000002</v>
      </c>
      <c r="E38" s="42" t="s">
        <v>604</v>
      </c>
      <c r="F38" s="41" t="s">
        <v>330</v>
      </c>
      <c r="G38" s="32"/>
      <c r="H38" s="267"/>
      <c r="I38" s="267"/>
      <c r="J38" s="267"/>
      <c r="K38" s="267"/>
      <c r="L38" s="267"/>
      <c r="M38" s="267"/>
      <c r="N38" s="267"/>
      <c r="O38" s="267"/>
    </row>
    <row r="39" spans="1:15" s="1" customFormat="1" ht="27" customHeight="1" thickBot="1" x14ac:dyDescent="0.25">
      <c r="A39" s="41" t="s">
        <v>291</v>
      </c>
      <c r="B39" s="41" t="s">
        <v>328</v>
      </c>
      <c r="C39" s="43" t="s">
        <v>340</v>
      </c>
      <c r="D39" s="118">
        <f>217.5</f>
        <v>217.5</v>
      </c>
      <c r="E39" s="42" t="s">
        <v>604</v>
      </c>
      <c r="F39" s="41" t="s">
        <v>330</v>
      </c>
      <c r="G39" s="32"/>
      <c r="H39" s="267"/>
      <c r="I39" s="267"/>
      <c r="J39" s="267"/>
      <c r="K39" s="267"/>
      <c r="L39" s="267"/>
      <c r="M39" s="267"/>
      <c r="N39" s="267"/>
      <c r="O39" s="267"/>
    </row>
    <row r="40" spans="1:15" s="1" customFormat="1" ht="27" customHeight="1" thickBot="1" x14ac:dyDescent="0.25">
      <c r="A40" s="41" t="s">
        <v>291</v>
      </c>
      <c r="B40" s="41" t="s">
        <v>328</v>
      </c>
      <c r="C40" s="43" t="s">
        <v>341</v>
      </c>
      <c r="D40" s="118">
        <f>3124.7</f>
        <v>3124.7</v>
      </c>
      <c r="E40" s="42" t="s">
        <v>604</v>
      </c>
      <c r="F40" s="41" t="s">
        <v>330</v>
      </c>
      <c r="G40" s="32"/>
      <c r="H40" s="267"/>
      <c r="I40" s="267"/>
      <c r="J40" s="267"/>
      <c r="K40" s="267"/>
      <c r="L40" s="267"/>
      <c r="M40" s="267"/>
      <c r="N40" s="267"/>
      <c r="O40" s="267"/>
    </row>
    <row r="41" spans="1:15" s="1" customFormat="1" ht="27" customHeight="1" thickBot="1" x14ac:dyDescent="0.25">
      <c r="A41" s="41" t="s">
        <v>291</v>
      </c>
      <c r="B41" s="41" t="s">
        <v>328</v>
      </c>
      <c r="C41" s="43" t="s">
        <v>342</v>
      </c>
      <c r="D41" s="118">
        <f>723</f>
        <v>723</v>
      </c>
      <c r="E41" s="42" t="s">
        <v>604</v>
      </c>
      <c r="F41" s="41" t="s">
        <v>330</v>
      </c>
      <c r="G41" s="32"/>
      <c r="H41" s="267"/>
      <c r="I41" s="267"/>
      <c r="J41" s="267"/>
      <c r="K41" s="267"/>
      <c r="L41" s="267"/>
      <c r="M41" s="267"/>
      <c r="N41" s="267"/>
      <c r="O41" s="267"/>
    </row>
    <row r="42" spans="1:15" s="1" customFormat="1" ht="27" customHeight="1" thickBot="1" x14ac:dyDescent="0.25">
      <c r="A42" s="41" t="s">
        <v>291</v>
      </c>
      <c r="B42" s="41" t="s">
        <v>328</v>
      </c>
      <c r="C42" s="43" t="s">
        <v>343</v>
      </c>
      <c r="D42" s="118">
        <f>947</f>
        <v>947</v>
      </c>
      <c r="E42" s="42" t="s">
        <v>604</v>
      </c>
      <c r="F42" s="41" t="s">
        <v>330</v>
      </c>
      <c r="G42" s="32"/>
      <c r="H42" s="267"/>
      <c r="I42" s="267"/>
      <c r="J42" s="267"/>
      <c r="K42" s="267"/>
      <c r="L42" s="267"/>
      <c r="M42" s="267"/>
      <c r="N42" s="267"/>
      <c r="O42" s="267"/>
    </row>
    <row r="43" spans="1:15" s="1" customFormat="1" ht="27" customHeight="1" thickBot="1" x14ac:dyDescent="0.25">
      <c r="A43" s="41" t="s">
        <v>291</v>
      </c>
      <c r="B43" s="41" t="s">
        <v>328</v>
      </c>
      <c r="C43" s="43" t="s">
        <v>344</v>
      </c>
      <c r="D43" s="118">
        <f>1000</f>
        <v>1000</v>
      </c>
      <c r="E43" s="42" t="s">
        <v>604</v>
      </c>
      <c r="F43" s="41" t="s">
        <v>330</v>
      </c>
      <c r="G43" s="32"/>
      <c r="H43" s="267"/>
      <c r="I43" s="267"/>
      <c r="J43" s="267"/>
      <c r="K43" s="267"/>
      <c r="L43" s="267"/>
      <c r="M43" s="267"/>
      <c r="N43" s="267"/>
      <c r="O43" s="267"/>
    </row>
    <row r="44" spans="1:15" s="1" customFormat="1" ht="27" customHeight="1" thickBot="1" x14ac:dyDescent="0.25">
      <c r="A44" s="41" t="s">
        <v>291</v>
      </c>
      <c r="B44" s="41" t="s">
        <v>328</v>
      </c>
      <c r="C44" s="43" t="s">
        <v>345</v>
      </c>
      <c r="D44" s="118">
        <f>7500</f>
        <v>7500</v>
      </c>
      <c r="E44" s="42" t="s">
        <v>604</v>
      </c>
      <c r="F44" s="41" t="s">
        <v>330</v>
      </c>
      <c r="G44" s="32"/>
      <c r="H44" s="267"/>
      <c r="I44" s="267"/>
      <c r="J44" s="267"/>
      <c r="K44" s="267"/>
      <c r="L44" s="267"/>
      <c r="M44" s="267"/>
      <c r="N44" s="267"/>
      <c r="O44" s="267"/>
    </row>
    <row r="45" spans="1:15" s="1" customFormat="1" ht="27" customHeight="1" thickBot="1" x14ac:dyDescent="0.25">
      <c r="A45" s="41" t="s">
        <v>291</v>
      </c>
      <c r="B45" s="41" t="s">
        <v>328</v>
      </c>
      <c r="C45" s="43" t="s">
        <v>346</v>
      </c>
      <c r="D45" s="118">
        <f>2425.5</f>
        <v>2425.5</v>
      </c>
      <c r="E45" s="42" t="s">
        <v>604</v>
      </c>
      <c r="F45" s="41" t="s">
        <v>330</v>
      </c>
      <c r="G45" s="32"/>
      <c r="H45" s="267"/>
      <c r="I45" s="267"/>
      <c r="J45" s="267"/>
      <c r="K45" s="267"/>
      <c r="L45" s="267"/>
      <c r="M45" s="267"/>
      <c r="N45" s="267"/>
      <c r="O45" s="267"/>
    </row>
    <row r="46" spans="1:15" s="1" customFormat="1" ht="27" customHeight="1" thickBot="1" x14ac:dyDescent="0.25">
      <c r="A46" s="41" t="s">
        <v>291</v>
      </c>
      <c r="B46" s="41" t="s">
        <v>328</v>
      </c>
      <c r="C46" s="43" t="s">
        <v>347</v>
      </c>
      <c r="D46" s="118">
        <f>12.5</f>
        <v>12.5</v>
      </c>
      <c r="E46" s="42" t="s">
        <v>667</v>
      </c>
      <c r="F46" s="41" t="s">
        <v>330</v>
      </c>
      <c r="G46" s="107"/>
      <c r="H46" s="267"/>
      <c r="I46" s="267"/>
      <c r="J46" s="267"/>
      <c r="K46" s="267"/>
      <c r="L46" s="267"/>
      <c r="M46" s="267"/>
      <c r="N46" s="267"/>
      <c r="O46" s="267"/>
    </row>
    <row r="47" spans="1:15" s="1" customFormat="1" ht="27" customHeight="1" thickBot="1" x14ac:dyDescent="0.25">
      <c r="A47" s="41" t="s">
        <v>291</v>
      </c>
      <c r="B47" s="41" t="s">
        <v>328</v>
      </c>
      <c r="C47" s="43" t="s">
        <v>300</v>
      </c>
      <c r="D47" s="118">
        <v>28.2</v>
      </c>
      <c r="E47" s="42" t="s">
        <v>667</v>
      </c>
      <c r="F47" s="41" t="s">
        <v>330</v>
      </c>
      <c r="G47" s="107"/>
      <c r="H47" s="267"/>
      <c r="I47" s="267"/>
      <c r="J47" s="267"/>
      <c r="K47" s="267"/>
      <c r="L47" s="267"/>
      <c r="M47" s="267"/>
      <c r="N47" s="267"/>
      <c r="O47" s="267"/>
    </row>
    <row r="48" spans="1:15" s="1" customFormat="1" ht="27" customHeight="1" thickBot="1" x14ac:dyDescent="0.25">
      <c r="A48" s="41" t="s">
        <v>291</v>
      </c>
      <c r="B48" s="41" t="s">
        <v>328</v>
      </c>
      <c r="C48" s="43" t="s">
        <v>348</v>
      </c>
      <c r="D48" s="118">
        <f>419.1</f>
        <v>419.1</v>
      </c>
      <c r="E48" s="42" t="s">
        <v>604</v>
      </c>
      <c r="F48" s="41" t="s">
        <v>330</v>
      </c>
      <c r="G48" s="32"/>
      <c r="H48" s="267"/>
      <c r="I48" s="267"/>
      <c r="J48" s="267"/>
      <c r="K48" s="267"/>
      <c r="L48" s="267"/>
      <c r="M48" s="267"/>
      <c r="N48" s="267"/>
      <c r="O48" s="267"/>
    </row>
    <row r="49" spans="1:15" s="1" customFormat="1" ht="27" customHeight="1" thickBot="1" x14ac:dyDescent="0.25">
      <c r="A49" s="41" t="s">
        <v>291</v>
      </c>
      <c r="B49" s="41" t="s">
        <v>328</v>
      </c>
      <c r="C49" s="43" t="s">
        <v>349</v>
      </c>
      <c r="D49" s="118">
        <f>56.4</f>
        <v>56.4</v>
      </c>
      <c r="E49" s="42" t="s">
        <v>604</v>
      </c>
      <c r="F49" s="41" t="s">
        <v>330</v>
      </c>
      <c r="G49" s="32"/>
      <c r="H49" s="267"/>
      <c r="I49" s="267"/>
      <c r="J49" s="267"/>
      <c r="K49" s="267"/>
      <c r="L49" s="267"/>
      <c r="M49" s="267"/>
      <c r="N49" s="267"/>
      <c r="O49" s="267"/>
    </row>
    <row r="50" spans="1:15" s="1" customFormat="1" ht="27" customHeight="1" thickBot="1" x14ac:dyDescent="0.25">
      <c r="A50" s="41" t="s">
        <v>291</v>
      </c>
      <c r="B50" s="41" t="s">
        <v>328</v>
      </c>
      <c r="C50" s="43" t="s">
        <v>350</v>
      </c>
      <c r="D50" s="118">
        <f>453.2</f>
        <v>453.2</v>
      </c>
      <c r="E50" s="42" t="s">
        <v>604</v>
      </c>
      <c r="F50" s="41" t="s">
        <v>330</v>
      </c>
      <c r="G50" s="32"/>
      <c r="H50" s="267"/>
      <c r="I50" s="267"/>
      <c r="J50" s="267"/>
      <c r="K50" s="267"/>
      <c r="L50" s="267"/>
      <c r="M50" s="267"/>
      <c r="N50" s="267"/>
      <c r="O50" s="267"/>
    </row>
    <row r="51" spans="1:15" s="1" customFormat="1" ht="27" customHeight="1" thickBot="1" x14ac:dyDescent="0.25">
      <c r="A51" s="41" t="s">
        <v>291</v>
      </c>
      <c r="B51" s="41" t="s">
        <v>328</v>
      </c>
      <c r="C51" s="43" t="s">
        <v>351</v>
      </c>
      <c r="D51" s="118">
        <f>264.9</f>
        <v>264.89999999999998</v>
      </c>
      <c r="E51" s="42" t="s">
        <v>604</v>
      </c>
      <c r="F51" s="41" t="s">
        <v>330</v>
      </c>
      <c r="G51" s="32"/>
      <c r="H51" s="267"/>
      <c r="I51" s="267"/>
      <c r="J51" s="267"/>
      <c r="K51" s="267"/>
      <c r="L51" s="267"/>
      <c r="M51" s="267"/>
      <c r="N51" s="267"/>
      <c r="O51" s="267"/>
    </row>
    <row r="52" spans="1:15" s="1" customFormat="1" ht="27" customHeight="1" thickBot="1" x14ac:dyDescent="0.25">
      <c r="A52" s="41" t="s">
        <v>291</v>
      </c>
      <c r="B52" s="41" t="s">
        <v>328</v>
      </c>
      <c r="C52" s="43" t="s">
        <v>352</v>
      </c>
      <c r="D52" s="118">
        <f>191.8</f>
        <v>191.8</v>
      </c>
      <c r="E52" s="42" t="s">
        <v>604</v>
      </c>
      <c r="F52" s="41" t="s">
        <v>330</v>
      </c>
      <c r="G52" s="32"/>
      <c r="H52" s="267"/>
      <c r="I52" s="267"/>
      <c r="J52" s="267"/>
      <c r="K52" s="267"/>
      <c r="L52" s="267"/>
      <c r="M52" s="267"/>
      <c r="N52" s="267"/>
      <c r="O52" s="267"/>
    </row>
    <row r="53" spans="1:15" s="1" customFormat="1" ht="27" customHeight="1" thickBot="1" x14ac:dyDescent="0.25">
      <c r="A53" s="41" t="s">
        <v>291</v>
      </c>
      <c r="B53" s="41" t="s">
        <v>328</v>
      </c>
      <c r="C53" s="43" t="s">
        <v>353</v>
      </c>
      <c r="D53" s="118">
        <f>38.8</f>
        <v>38.799999999999997</v>
      </c>
      <c r="E53" s="42" t="s">
        <v>604</v>
      </c>
      <c r="F53" s="41" t="s">
        <v>330</v>
      </c>
      <c r="G53" s="32"/>
      <c r="H53" s="267"/>
      <c r="I53" s="267"/>
      <c r="J53" s="267"/>
      <c r="K53" s="267"/>
      <c r="L53" s="267"/>
      <c r="M53" s="267"/>
      <c r="N53" s="267"/>
      <c r="O53" s="267"/>
    </row>
    <row r="54" spans="1:15" s="1" customFormat="1" ht="27" customHeight="1" thickBot="1" x14ac:dyDescent="0.25">
      <c r="A54" s="41" t="s">
        <v>291</v>
      </c>
      <c r="B54" s="41" t="s">
        <v>328</v>
      </c>
      <c r="C54" s="43" t="s">
        <v>354</v>
      </c>
      <c r="D54" s="118">
        <f>3274.8</f>
        <v>3274.8</v>
      </c>
      <c r="E54" s="42" t="s">
        <v>604</v>
      </c>
      <c r="F54" s="41" t="s">
        <v>330</v>
      </c>
      <c r="G54" s="32"/>
      <c r="H54" s="267"/>
      <c r="I54" s="267"/>
      <c r="J54" s="267"/>
      <c r="K54" s="267"/>
      <c r="L54" s="267"/>
      <c r="M54" s="267"/>
      <c r="N54" s="267"/>
      <c r="O54" s="267"/>
    </row>
    <row r="55" spans="1:15" s="1" customFormat="1" ht="27" customHeight="1" thickBot="1" x14ac:dyDescent="0.25">
      <c r="A55" s="41" t="s">
        <v>291</v>
      </c>
      <c r="B55" s="41" t="s">
        <v>328</v>
      </c>
      <c r="C55" s="43" t="s">
        <v>355</v>
      </c>
      <c r="D55" s="118">
        <f>53.3</f>
        <v>53.3</v>
      </c>
      <c r="E55" s="42" t="s">
        <v>604</v>
      </c>
      <c r="F55" s="41" t="s">
        <v>330</v>
      </c>
      <c r="G55" s="32"/>
      <c r="H55" s="267"/>
      <c r="I55" s="267"/>
      <c r="J55" s="267"/>
      <c r="K55" s="267"/>
      <c r="L55" s="267"/>
      <c r="M55" s="267"/>
      <c r="N55" s="267"/>
      <c r="O55" s="267"/>
    </row>
    <row r="56" spans="1:15" s="1" customFormat="1" ht="27" customHeight="1" thickBot="1" x14ac:dyDescent="0.25">
      <c r="A56" s="41" t="s">
        <v>291</v>
      </c>
      <c r="B56" s="41" t="s">
        <v>328</v>
      </c>
      <c r="C56" s="43" t="s">
        <v>356</v>
      </c>
      <c r="D56" s="118">
        <f>674.4</f>
        <v>674.4</v>
      </c>
      <c r="E56" s="42" t="s">
        <v>604</v>
      </c>
      <c r="F56" s="41" t="s">
        <v>330</v>
      </c>
      <c r="G56" s="32"/>
      <c r="H56" s="267"/>
      <c r="I56" s="267"/>
      <c r="J56" s="267"/>
      <c r="K56" s="267"/>
      <c r="L56" s="267"/>
      <c r="M56" s="267"/>
      <c r="N56" s="267"/>
      <c r="O56" s="267"/>
    </row>
    <row r="57" spans="1:15" s="1" customFormat="1" ht="27" customHeight="1" thickBot="1" x14ac:dyDescent="0.25">
      <c r="A57" s="41" t="s">
        <v>357</v>
      </c>
      <c r="B57" s="41" t="s">
        <v>358</v>
      </c>
      <c r="C57" s="43" t="s">
        <v>359</v>
      </c>
      <c r="D57" s="118">
        <v>50</v>
      </c>
      <c r="E57" s="42" t="s">
        <v>360</v>
      </c>
      <c r="F57" s="41" t="s">
        <v>361</v>
      </c>
      <c r="G57" s="7" t="s">
        <v>362</v>
      </c>
      <c r="H57" s="267"/>
      <c r="I57" s="267"/>
      <c r="J57" s="267"/>
      <c r="K57" s="267"/>
      <c r="L57" s="267"/>
      <c r="M57" s="267"/>
      <c r="N57" s="267"/>
      <c r="O57" s="267"/>
    </row>
    <row r="58" spans="1:15" s="1" customFormat="1" ht="27" customHeight="1" thickBot="1" x14ac:dyDescent="0.25">
      <c r="A58" s="43" t="s">
        <v>357</v>
      </c>
      <c r="B58" s="41" t="s">
        <v>363</v>
      </c>
      <c r="C58" s="43" t="s">
        <v>364</v>
      </c>
      <c r="D58" s="118">
        <v>10</v>
      </c>
      <c r="E58" s="42" t="s">
        <v>360</v>
      </c>
      <c r="F58" s="41" t="s">
        <v>361</v>
      </c>
      <c r="G58" s="7" t="s">
        <v>362</v>
      </c>
      <c r="H58" s="267"/>
      <c r="I58" s="267"/>
      <c r="J58" s="267"/>
      <c r="K58" s="267"/>
      <c r="L58" s="267"/>
      <c r="M58" s="267"/>
      <c r="N58" s="267"/>
      <c r="O58" s="267"/>
    </row>
    <row r="59" spans="1:15" s="1" customFormat="1" ht="27" customHeight="1" thickBot="1" x14ac:dyDescent="0.25">
      <c r="A59" s="41" t="s">
        <v>357</v>
      </c>
      <c r="B59" s="41" t="s">
        <v>365</v>
      </c>
      <c r="C59" s="43" t="s">
        <v>303</v>
      </c>
      <c r="D59" s="118">
        <v>43.1</v>
      </c>
      <c r="E59" s="42" t="s">
        <v>360</v>
      </c>
      <c r="F59" s="41" t="s">
        <v>361</v>
      </c>
      <c r="G59" s="7" t="s">
        <v>362</v>
      </c>
      <c r="H59" s="267"/>
      <c r="I59" s="267"/>
      <c r="J59" s="267"/>
      <c r="K59" s="267"/>
      <c r="L59" s="267"/>
      <c r="M59" s="267"/>
      <c r="N59" s="267"/>
      <c r="O59" s="267"/>
    </row>
    <row r="60" spans="1:15" s="1" customFormat="1" ht="27" customHeight="1" thickBot="1" x14ac:dyDescent="0.25">
      <c r="A60" s="41" t="s">
        <v>357</v>
      </c>
      <c r="B60" s="41" t="s">
        <v>365</v>
      </c>
      <c r="C60" s="43" t="s">
        <v>305</v>
      </c>
      <c r="D60" s="118">
        <v>43.2</v>
      </c>
      <c r="E60" s="42" t="s">
        <v>360</v>
      </c>
      <c r="F60" s="41" t="s">
        <v>361</v>
      </c>
      <c r="G60" s="7" t="s">
        <v>362</v>
      </c>
      <c r="H60" s="267"/>
      <c r="I60" s="267"/>
      <c r="J60" s="267"/>
      <c r="K60" s="267"/>
      <c r="L60" s="267"/>
      <c r="M60" s="267"/>
      <c r="N60" s="267"/>
      <c r="O60" s="267"/>
    </row>
    <row r="61" spans="1:15" s="1" customFormat="1" ht="27" customHeight="1" thickBot="1" x14ac:dyDescent="0.25">
      <c r="A61" s="41" t="s">
        <v>357</v>
      </c>
      <c r="B61" s="41" t="s">
        <v>365</v>
      </c>
      <c r="C61" s="43" t="s">
        <v>366</v>
      </c>
      <c r="D61" s="118">
        <v>40.5</v>
      </c>
      <c r="E61" s="42" t="s">
        <v>360</v>
      </c>
      <c r="F61" s="41" t="s">
        <v>361</v>
      </c>
      <c r="G61" s="7" t="s">
        <v>362</v>
      </c>
      <c r="H61" s="267"/>
      <c r="I61" s="267"/>
      <c r="J61" s="267"/>
      <c r="K61" s="267"/>
      <c r="L61" s="267"/>
      <c r="M61" s="267"/>
      <c r="N61" s="267"/>
      <c r="O61" s="267"/>
    </row>
    <row r="62" spans="1:15" s="1" customFormat="1" ht="27" customHeight="1" thickBot="1" x14ac:dyDescent="0.25">
      <c r="A62" s="41" t="s">
        <v>357</v>
      </c>
      <c r="B62" s="41" t="s">
        <v>365</v>
      </c>
      <c r="C62" s="43" t="s">
        <v>367</v>
      </c>
      <c r="D62" s="118">
        <v>40.5</v>
      </c>
      <c r="E62" s="42" t="s">
        <v>360</v>
      </c>
      <c r="F62" s="41" t="s">
        <v>361</v>
      </c>
      <c r="G62" s="7" t="s">
        <v>362</v>
      </c>
      <c r="H62" s="267"/>
      <c r="I62" s="267"/>
      <c r="J62" s="267"/>
      <c r="K62" s="267"/>
      <c r="L62" s="267"/>
      <c r="M62" s="267"/>
      <c r="N62" s="267"/>
      <c r="O62" s="267"/>
    </row>
    <row r="63" spans="1:15" s="1" customFormat="1" ht="27" customHeight="1" thickBot="1" x14ac:dyDescent="0.25">
      <c r="A63" s="41" t="s">
        <v>357</v>
      </c>
      <c r="B63" s="41" t="s">
        <v>365</v>
      </c>
      <c r="C63" s="43" t="s">
        <v>368</v>
      </c>
      <c r="D63" s="118">
        <v>26.8</v>
      </c>
      <c r="E63" s="42" t="s">
        <v>360</v>
      </c>
      <c r="F63" s="41" t="s">
        <v>361</v>
      </c>
      <c r="G63" s="7" t="s">
        <v>362</v>
      </c>
      <c r="H63" s="267"/>
      <c r="I63" s="267"/>
      <c r="J63" s="267"/>
      <c r="K63" s="267"/>
      <c r="L63" s="267"/>
      <c r="M63" s="267"/>
      <c r="N63" s="267"/>
      <c r="O63" s="267"/>
    </row>
    <row r="64" spans="1:15" s="1" customFormat="1" ht="27" customHeight="1" thickBot="1" x14ac:dyDescent="0.25">
      <c r="A64" s="41" t="s">
        <v>357</v>
      </c>
      <c r="B64" s="41" t="s">
        <v>365</v>
      </c>
      <c r="C64" s="43" t="s">
        <v>300</v>
      </c>
      <c r="D64" s="118">
        <v>19.899999999999999</v>
      </c>
      <c r="E64" s="42" t="s">
        <v>360</v>
      </c>
      <c r="F64" s="41" t="s">
        <v>361</v>
      </c>
      <c r="G64" s="7" t="s">
        <v>362</v>
      </c>
      <c r="H64" s="267"/>
      <c r="I64" s="267"/>
      <c r="J64" s="267"/>
      <c r="K64" s="267"/>
      <c r="L64" s="267"/>
      <c r="M64" s="267"/>
      <c r="N64" s="267"/>
      <c r="O64" s="267"/>
    </row>
    <row r="65" spans="1:15" s="1" customFormat="1" ht="27" customHeight="1" thickBot="1" x14ac:dyDescent="0.25">
      <c r="A65" s="41" t="s">
        <v>357</v>
      </c>
      <c r="B65" s="41" t="s">
        <v>365</v>
      </c>
      <c r="C65" s="43" t="s">
        <v>369</v>
      </c>
      <c r="D65" s="118">
        <v>37.200000000000003</v>
      </c>
      <c r="E65" s="42" t="s">
        <v>360</v>
      </c>
      <c r="F65" s="41" t="s">
        <v>361</v>
      </c>
      <c r="G65" s="7" t="s">
        <v>362</v>
      </c>
      <c r="H65" s="267"/>
      <c r="I65" s="267"/>
      <c r="J65" s="267"/>
      <c r="K65" s="267"/>
      <c r="L65" s="267"/>
      <c r="M65" s="267"/>
      <c r="N65" s="267"/>
      <c r="O65" s="267"/>
    </row>
    <row r="66" spans="1:15" s="1" customFormat="1" ht="27" customHeight="1" thickBot="1" x14ac:dyDescent="0.25">
      <c r="A66" s="41" t="s">
        <v>357</v>
      </c>
      <c r="B66" s="41" t="s">
        <v>365</v>
      </c>
      <c r="C66" s="43" t="s">
        <v>370</v>
      </c>
      <c r="D66" s="118">
        <v>44</v>
      </c>
      <c r="E66" s="42" t="s">
        <v>360</v>
      </c>
      <c r="F66" s="41" t="s">
        <v>361</v>
      </c>
      <c r="G66" s="8" t="s">
        <v>362</v>
      </c>
      <c r="H66" s="267"/>
      <c r="I66" s="267"/>
      <c r="J66" s="267"/>
      <c r="K66" s="267"/>
      <c r="L66" s="267"/>
      <c r="M66" s="267"/>
      <c r="N66" s="267"/>
      <c r="O66" s="267"/>
    </row>
    <row r="67" spans="1:15" s="1" customFormat="1" ht="27" customHeight="1" thickBot="1" x14ac:dyDescent="0.25">
      <c r="A67" s="41" t="s">
        <v>357</v>
      </c>
      <c r="B67" s="41" t="s">
        <v>365</v>
      </c>
      <c r="C67" s="43" t="s">
        <v>371</v>
      </c>
      <c r="D67" s="118">
        <v>44</v>
      </c>
      <c r="E67" s="42" t="s">
        <v>360</v>
      </c>
      <c r="F67" s="41" t="s">
        <v>361</v>
      </c>
      <c r="G67" s="8" t="s">
        <v>362</v>
      </c>
      <c r="H67" s="267"/>
      <c r="I67" s="267"/>
      <c r="J67" s="267"/>
      <c r="K67" s="267"/>
      <c r="L67" s="267"/>
      <c r="M67" s="267"/>
      <c r="N67" s="267"/>
      <c r="O67" s="267"/>
    </row>
    <row r="68" spans="1:15" s="1" customFormat="1" ht="27" customHeight="1" thickBot="1" x14ac:dyDescent="0.25">
      <c r="A68" s="41" t="s">
        <v>357</v>
      </c>
      <c r="B68" s="41" t="s">
        <v>365</v>
      </c>
      <c r="C68" s="43" t="s">
        <v>372</v>
      </c>
      <c r="D68" s="118">
        <v>37</v>
      </c>
      <c r="E68" s="42" t="s">
        <v>360</v>
      </c>
      <c r="F68" s="41" t="s">
        <v>361</v>
      </c>
      <c r="G68" s="8" t="s">
        <v>362</v>
      </c>
      <c r="H68" s="267"/>
      <c r="I68" s="267"/>
      <c r="J68" s="267"/>
      <c r="K68" s="267"/>
      <c r="L68" s="267"/>
      <c r="M68" s="267"/>
      <c r="N68" s="267"/>
      <c r="O68" s="267"/>
    </row>
    <row r="69" spans="1:15" s="1" customFormat="1" ht="27" customHeight="1" thickBot="1" x14ac:dyDescent="0.25">
      <c r="A69" s="41" t="s">
        <v>357</v>
      </c>
      <c r="B69" s="41" t="s">
        <v>373</v>
      </c>
      <c r="C69" s="43" t="s">
        <v>374</v>
      </c>
      <c r="D69" s="118">
        <v>26.532</v>
      </c>
      <c r="E69" s="42" t="s">
        <v>360</v>
      </c>
      <c r="F69" s="41" t="s">
        <v>361</v>
      </c>
      <c r="G69" s="8" t="s">
        <v>362</v>
      </c>
      <c r="H69" s="267"/>
      <c r="I69" s="267"/>
      <c r="J69" s="267"/>
      <c r="K69" s="267"/>
      <c r="L69" s="267"/>
      <c r="M69" s="267"/>
      <c r="N69" s="267"/>
      <c r="O69" s="267"/>
    </row>
    <row r="70" spans="1:15" s="1" customFormat="1" ht="27" customHeight="1" thickBot="1" x14ac:dyDescent="0.25">
      <c r="A70" s="41" t="s">
        <v>357</v>
      </c>
      <c r="B70" s="41" t="s">
        <v>373</v>
      </c>
      <c r="C70" s="43" t="s">
        <v>326</v>
      </c>
      <c r="D70" s="118">
        <v>9.234</v>
      </c>
      <c r="E70" s="42" t="s">
        <v>360</v>
      </c>
      <c r="F70" s="41" t="s">
        <v>361</v>
      </c>
      <c r="G70" s="8" t="s">
        <v>362</v>
      </c>
      <c r="H70" s="267"/>
      <c r="I70" s="267"/>
      <c r="J70" s="267"/>
      <c r="K70" s="267"/>
      <c r="L70" s="267"/>
      <c r="M70" s="267"/>
      <c r="N70" s="267"/>
      <c r="O70" s="267"/>
    </row>
    <row r="71" spans="1:15" s="1" customFormat="1" ht="27" customHeight="1" thickBot="1" x14ac:dyDescent="0.25">
      <c r="A71" s="41" t="s">
        <v>357</v>
      </c>
      <c r="B71" s="41" t="s">
        <v>373</v>
      </c>
      <c r="C71" s="43" t="s">
        <v>375</v>
      </c>
      <c r="D71" s="118">
        <v>18.5</v>
      </c>
      <c r="E71" s="42" t="s">
        <v>360</v>
      </c>
      <c r="F71" s="41" t="s">
        <v>361</v>
      </c>
      <c r="G71" s="8" t="s">
        <v>362</v>
      </c>
      <c r="H71" s="267"/>
      <c r="I71" s="267"/>
      <c r="J71" s="267"/>
      <c r="K71" s="267"/>
      <c r="L71" s="267"/>
      <c r="M71" s="267"/>
      <c r="N71" s="267"/>
      <c r="O71" s="267"/>
    </row>
    <row r="72" spans="1:15" s="1" customFormat="1" ht="27" customHeight="1" thickBot="1" x14ac:dyDescent="0.25">
      <c r="A72" s="41" t="s">
        <v>357</v>
      </c>
      <c r="B72" s="41" t="s">
        <v>373</v>
      </c>
      <c r="C72" s="43" t="s">
        <v>376</v>
      </c>
      <c r="D72" s="118">
        <v>24</v>
      </c>
      <c r="E72" s="42" t="s">
        <v>360</v>
      </c>
      <c r="F72" s="41" t="s">
        <v>361</v>
      </c>
      <c r="G72" s="8" t="s">
        <v>362</v>
      </c>
      <c r="H72" s="267"/>
      <c r="I72" s="267"/>
      <c r="J72" s="267"/>
      <c r="K72" s="267"/>
      <c r="L72" s="267"/>
      <c r="M72" s="267"/>
      <c r="N72" s="267"/>
      <c r="O72" s="267"/>
    </row>
    <row r="73" spans="1:15" s="1" customFormat="1" ht="27" customHeight="1" thickBot="1" x14ac:dyDescent="0.25">
      <c r="A73" s="41" t="s">
        <v>357</v>
      </c>
      <c r="B73" s="41" t="s">
        <v>373</v>
      </c>
      <c r="C73" s="43" t="s">
        <v>377</v>
      </c>
      <c r="D73" s="118">
        <v>26.4</v>
      </c>
      <c r="E73" s="42" t="s">
        <v>360</v>
      </c>
      <c r="F73" s="41" t="s">
        <v>361</v>
      </c>
      <c r="G73" s="8" t="s">
        <v>362</v>
      </c>
      <c r="H73" s="267"/>
      <c r="I73" s="267"/>
      <c r="J73" s="267"/>
      <c r="K73" s="267"/>
      <c r="L73" s="267"/>
      <c r="M73" s="267"/>
      <c r="N73" s="267"/>
      <c r="O73" s="267"/>
    </row>
    <row r="74" spans="1:15" s="1" customFormat="1" ht="27" customHeight="1" thickBot="1" x14ac:dyDescent="0.25">
      <c r="A74" s="41" t="s">
        <v>357</v>
      </c>
      <c r="B74" s="41" t="s">
        <v>373</v>
      </c>
      <c r="C74" s="43" t="s">
        <v>378</v>
      </c>
      <c r="D74" s="118">
        <v>23.529411764705884</v>
      </c>
      <c r="E74" s="42" t="s">
        <v>360</v>
      </c>
      <c r="F74" s="41" t="s">
        <v>361</v>
      </c>
      <c r="G74" s="8" t="s">
        <v>362</v>
      </c>
      <c r="H74" s="267"/>
      <c r="I74" s="267"/>
      <c r="J74" s="267"/>
      <c r="K74" s="267"/>
      <c r="L74" s="267"/>
      <c r="M74" s="267"/>
      <c r="N74" s="267"/>
      <c r="O74" s="267"/>
    </row>
    <row r="75" spans="1:15" s="1" customFormat="1" ht="27" customHeight="1" thickBot="1" x14ac:dyDescent="0.25">
      <c r="A75" s="41" t="s">
        <v>357</v>
      </c>
      <c r="B75" s="41" t="s">
        <v>373</v>
      </c>
      <c r="C75" s="43" t="s">
        <v>379</v>
      </c>
      <c r="D75" s="118">
        <v>16.3</v>
      </c>
      <c r="E75" s="42" t="s">
        <v>360</v>
      </c>
      <c r="F75" s="41" t="s">
        <v>361</v>
      </c>
      <c r="G75" s="8" t="s">
        <v>362</v>
      </c>
      <c r="H75" s="267"/>
      <c r="I75" s="267"/>
      <c r="J75" s="267"/>
      <c r="K75" s="267"/>
      <c r="L75" s="267"/>
      <c r="M75" s="267"/>
      <c r="N75" s="267"/>
      <c r="O75" s="267"/>
    </row>
    <row r="76" spans="1:15" s="1" customFormat="1" ht="27" customHeight="1" thickBot="1" x14ac:dyDescent="0.25">
      <c r="A76" s="41" t="s">
        <v>357</v>
      </c>
      <c r="B76" s="41" t="s">
        <v>373</v>
      </c>
      <c r="C76" s="43" t="s">
        <v>380</v>
      </c>
      <c r="D76" s="118">
        <v>19.600000000000001</v>
      </c>
      <c r="E76" s="42" t="s">
        <v>360</v>
      </c>
      <c r="F76" s="41" t="s">
        <v>361</v>
      </c>
      <c r="G76" s="8" t="s">
        <v>362</v>
      </c>
      <c r="H76" s="267"/>
      <c r="I76" s="267"/>
      <c r="J76" s="267"/>
      <c r="K76" s="267"/>
      <c r="L76" s="267"/>
      <c r="M76" s="267"/>
      <c r="N76" s="267"/>
      <c r="O76" s="267"/>
    </row>
    <row r="77" spans="1:15" s="1" customFormat="1" ht="27" customHeight="1" thickBot="1" x14ac:dyDescent="0.25">
      <c r="A77" s="41" t="s">
        <v>357</v>
      </c>
      <c r="B77" s="41" t="s">
        <v>373</v>
      </c>
      <c r="C77" s="43" t="s">
        <v>381</v>
      </c>
      <c r="D77" s="118">
        <v>26.4</v>
      </c>
      <c r="E77" s="42" t="s">
        <v>360</v>
      </c>
      <c r="F77" s="41" t="s">
        <v>361</v>
      </c>
      <c r="G77" s="8" t="s">
        <v>362</v>
      </c>
      <c r="H77" s="267"/>
      <c r="I77" s="267"/>
      <c r="J77" s="267"/>
      <c r="K77" s="267"/>
      <c r="L77" s="267"/>
      <c r="M77" s="267"/>
      <c r="N77" s="267"/>
      <c r="O77" s="267"/>
    </row>
    <row r="78" spans="1:15" s="1" customFormat="1" ht="27" customHeight="1" thickBot="1" x14ac:dyDescent="0.25">
      <c r="A78" s="41" t="s">
        <v>357</v>
      </c>
      <c r="B78" s="41" t="s">
        <v>373</v>
      </c>
      <c r="C78" s="43" t="s">
        <v>382</v>
      </c>
      <c r="D78" s="118">
        <v>17</v>
      </c>
      <c r="E78" s="42" t="s">
        <v>360</v>
      </c>
      <c r="F78" s="41" t="s">
        <v>361</v>
      </c>
      <c r="G78" s="8" t="s">
        <v>362</v>
      </c>
      <c r="H78" s="267"/>
      <c r="I78" s="267"/>
      <c r="J78" s="267"/>
      <c r="K78" s="267"/>
      <c r="L78" s="267"/>
      <c r="M78" s="267"/>
      <c r="N78" s="267"/>
      <c r="O78" s="267"/>
    </row>
    <row r="79" spans="1:15" s="1" customFormat="1" ht="27" customHeight="1" thickBot="1" x14ac:dyDescent="0.25">
      <c r="A79" s="41" t="s">
        <v>357</v>
      </c>
      <c r="B79" s="41" t="s">
        <v>373</v>
      </c>
      <c r="C79" s="43" t="s">
        <v>383</v>
      </c>
      <c r="D79" s="118">
        <v>37.1</v>
      </c>
      <c r="E79" s="42" t="s">
        <v>360</v>
      </c>
      <c r="F79" s="41" t="s">
        <v>361</v>
      </c>
      <c r="G79" s="8" t="s">
        <v>362</v>
      </c>
      <c r="H79" s="267"/>
      <c r="I79" s="267"/>
      <c r="J79" s="267"/>
      <c r="K79" s="267"/>
      <c r="L79" s="267"/>
      <c r="M79" s="267"/>
      <c r="N79" s="267"/>
      <c r="O79" s="267"/>
    </row>
    <row r="80" spans="1:15" s="1" customFormat="1" ht="27" customHeight="1" thickBot="1" x14ac:dyDescent="0.25">
      <c r="A80" s="41" t="s">
        <v>357</v>
      </c>
      <c r="B80" s="41" t="s">
        <v>373</v>
      </c>
      <c r="C80" s="43" t="s">
        <v>384</v>
      </c>
      <c r="D80" s="118">
        <v>21.8</v>
      </c>
      <c r="E80" s="42" t="s">
        <v>360</v>
      </c>
      <c r="F80" s="41" t="s">
        <v>361</v>
      </c>
      <c r="G80" s="8" t="s">
        <v>362</v>
      </c>
      <c r="H80" s="267"/>
      <c r="I80" s="267"/>
      <c r="J80" s="267"/>
      <c r="K80" s="267"/>
      <c r="L80" s="267"/>
      <c r="M80" s="267"/>
      <c r="N80" s="267"/>
      <c r="O80" s="267"/>
    </row>
    <row r="81" spans="1:15" s="1" customFormat="1" ht="27" customHeight="1" thickBot="1" x14ac:dyDescent="0.25">
      <c r="A81" s="41" t="s">
        <v>357</v>
      </c>
      <c r="B81" s="41" t="s">
        <v>373</v>
      </c>
      <c r="C81" s="43" t="s">
        <v>385</v>
      </c>
      <c r="D81" s="118">
        <v>37</v>
      </c>
      <c r="E81" s="42" t="s">
        <v>360</v>
      </c>
      <c r="F81" s="41" t="s">
        <v>361</v>
      </c>
      <c r="G81" s="8" t="s">
        <v>362</v>
      </c>
      <c r="H81" s="267"/>
      <c r="I81" s="267"/>
      <c r="J81" s="267"/>
      <c r="K81" s="267"/>
      <c r="L81" s="267"/>
      <c r="M81" s="267"/>
      <c r="N81" s="267"/>
      <c r="O81" s="267"/>
    </row>
    <row r="82" spans="1:15" s="1" customFormat="1" ht="27" customHeight="1" thickBot="1" x14ac:dyDescent="0.25">
      <c r="A82" s="41" t="s">
        <v>357</v>
      </c>
      <c r="B82" s="41" t="s">
        <v>373</v>
      </c>
      <c r="C82" s="43" t="s">
        <v>386</v>
      </c>
      <c r="D82" s="118">
        <v>16</v>
      </c>
      <c r="E82" s="42" t="s">
        <v>360</v>
      </c>
      <c r="F82" s="41" t="s">
        <v>361</v>
      </c>
      <c r="G82" s="8" t="s">
        <v>362</v>
      </c>
      <c r="H82" s="267"/>
      <c r="I82" s="267"/>
      <c r="J82" s="267"/>
      <c r="K82" s="267"/>
      <c r="L82" s="267"/>
      <c r="M82" s="267"/>
      <c r="N82" s="267"/>
      <c r="O82" s="267"/>
    </row>
    <row r="83" spans="1:15" s="1" customFormat="1" ht="27" customHeight="1" thickBot="1" x14ac:dyDescent="0.25">
      <c r="A83" s="41" t="s">
        <v>357</v>
      </c>
      <c r="B83" s="41" t="s">
        <v>373</v>
      </c>
      <c r="C83" s="43" t="s">
        <v>387</v>
      </c>
      <c r="D83" s="118">
        <v>16</v>
      </c>
      <c r="E83" s="42" t="s">
        <v>360</v>
      </c>
      <c r="F83" s="41" t="s">
        <v>361</v>
      </c>
      <c r="G83" s="8" t="s">
        <v>362</v>
      </c>
      <c r="H83" s="267"/>
      <c r="I83" s="267"/>
      <c r="J83" s="267"/>
      <c r="K83" s="267"/>
      <c r="L83" s="267"/>
      <c r="M83" s="267"/>
      <c r="N83" s="267"/>
      <c r="O83" s="267"/>
    </row>
    <row r="84" spans="1:15" s="1" customFormat="1" ht="27" customHeight="1" thickBot="1" x14ac:dyDescent="0.25">
      <c r="A84" s="41" t="s">
        <v>357</v>
      </c>
      <c r="B84" s="41" t="s">
        <v>373</v>
      </c>
      <c r="C84" s="43" t="s">
        <v>388</v>
      </c>
      <c r="D84" s="118">
        <v>17</v>
      </c>
      <c r="E84" s="42" t="s">
        <v>360</v>
      </c>
      <c r="F84" s="41" t="s">
        <v>361</v>
      </c>
      <c r="G84" s="8" t="s">
        <v>362</v>
      </c>
      <c r="H84" s="267"/>
      <c r="I84" s="267"/>
      <c r="J84" s="267"/>
      <c r="K84" s="267"/>
      <c r="L84" s="267"/>
      <c r="M84" s="267"/>
      <c r="N84" s="267"/>
      <c r="O84" s="267"/>
    </row>
    <row r="85" spans="1:15" s="1" customFormat="1" ht="27" customHeight="1" thickBot="1" x14ac:dyDescent="0.25">
      <c r="A85" s="41" t="s">
        <v>357</v>
      </c>
      <c r="B85" s="41" t="s">
        <v>373</v>
      </c>
      <c r="C85" s="43" t="s">
        <v>389</v>
      </c>
      <c r="D85" s="118">
        <v>37</v>
      </c>
      <c r="E85" s="42" t="s">
        <v>360</v>
      </c>
      <c r="F85" s="41" t="s">
        <v>361</v>
      </c>
      <c r="G85" s="8" t="s">
        <v>362</v>
      </c>
      <c r="H85" s="267"/>
      <c r="I85" s="267"/>
      <c r="J85" s="267"/>
      <c r="K85" s="267"/>
      <c r="L85" s="267"/>
      <c r="M85" s="267"/>
      <c r="N85" s="267"/>
      <c r="O85" s="267"/>
    </row>
    <row r="86" spans="1:15" s="1" customFormat="1" ht="27" customHeight="1" thickBot="1" x14ac:dyDescent="0.25">
      <c r="A86" s="41" t="s">
        <v>357</v>
      </c>
      <c r="B86" s="41" t="s">
        <v>373</v>
      </c>
      <c r="C86" s="43" t="s">
        <v>390</v>
      </c>
      <c r="D86" s="118">
        <v>18.649999999999999</v>
      </c>
      <c r="E86" s="42" t="s">
        <v>360</v>
      </c>
      <c r="F86" s="41" t="s">
        <v>361</v>
      </c>
      <c r="G86" s="8" t="s">
        <v>362</v>
      </c>
      <c r="H86" s="267"/>
      <c r="I86" s="267"/>
      <c r="J86" s="267"/>
      <c r="K86" s="267"/>
      <c r="L86" s="267"/>
      <c r="M86" s="267"/>
      <c r="N86" s="267"/>
      <c r="O86" s="267"/>
    </row>
    <row r="87" spans="1:15" s="1" customFormat="1" ht="27" customHeight="1" thickBot="1" x14ac:dyDescent="0.25">
      <c r="A87" s="41" t="s">
        <v>357</v>
      </c>
      <c r="B87" s="41" t="s">
        <v>373</v>
      </c>
      <c r="C87" s="43" t="s">
        <v>391</v>
      </c>
      <c r="D87" s="118">
        <v>37</v>
      </c>
      <c r="E87" s="42" t="s">
        <v>360</v>
      </c>
      <c r="F87" s="41" t="s">
        <v>361</v>
      </c>
      <c r="G87" s="8" t="s">
        <v>362</v>
      </c>
      <c r="H87" s="267"/>
      <c r="I87" s="267"/>
      <c r="J87" s="267"/>
      <c r="K87" s="267"/>
      <c r="L87" s="267"/>
      <c r="M87" s="267"/>
      <c r="N87" s="267"/>
      <c r="O87" s="267"/>
    </row>
    <row r="88" spans="1:15" s="1" customFormat="1" ht="27" customHeight="1" thickBot="1" x14ac:dyDescent="0.25">
      <c r="A88" s="41" t="s">
        <v>357</v>
      </c>
      <c r="B88" s="41" t="s">
        <v>373</v>
      </c>
      <c r="C88" s="43" t="s">
        <v>392</v>
      </c>
      <c r="D88" s="118">
        <v>37</v>
      </c>
      <c r="E88" s="42" t="s">
        <v>360</v>
      </c>
      <c r="F88" s="41" t="s">
        <v>361</v>
      </c>
      <c r="G88" s="8" t="s">
        <v>362</v>
      </c>
      <c r="H88" s="267"/>
      <c r="I88" s="267"/>
      <c r="J88" s="267"/>
      <c r="K88" s="267"/>
      <c r="L88" s="267"/>
      <c r="M88" s="267"/>
      <c r="N88" s="267"/>
      <c r="O88" s="267"/>
    </row>
    <row r="89" spans="1:15" s="1" customFormat="1" ht="27" customHeight="1" thickBot="1" x14ac:dyDescent="0.25">
      <c r="A89" s="41" t="s">
        <v>357</v>
      </c>
      <c r="B89" s="41" t="s">
        <v>373</v>
      </c>
      <c r="C89" s="43" t="s">
        <v>393</v>
      </c>
      <c r="D89" s="118">
        <v>15.6</v>
      </c>
      <c r="E89" s="42" t="s">
        <v>360</v>
      </c>
      <c r="F89" s="41" t="s">
        <v>361</v>
      </c>
      <c r="G89" s="8" t="s">
        <v>362</v>
      </c>
      <c r="H89" s="267"/>
      <c r="I89" s="267"/>
      <c r="J89" s="267"/>
      <c r="K89" s="267"/>
      <c r="L89" s="267"/>
      <c r="M89" s="267"/>
      <c r="N89" s="267"/>
      <c r="O89" s="267"/>
    </row>
    <row r="90" spans="1:15" s="1" customFormat="1" ht="27" customHeight="1" thickBot="1" x14ac:dyDescent="0.25">
      <c r="A90" s="41" t="s">
        <v>357</v>
      </c>
      <c r="B90" s="41" t="s">
        <v>373</v>
      </c>
      <c r="C90" s="43" t="s">
        <v>394</v>
      </c>
      <c r="D90" s="118">
        <v>15.6</v>
      </c>
      <c r="E90" s="42" t="s">
        <v>360</v>
      </c>
      <c r="F90" s="41" t="s">
        <v>361</v>
      </c>
      <c r="G90" s="8" t="s">
        <v>362</v>
      </c>
      <c r="H90" s="267"/>
      <c r="I90" s="267"/>
      <c r="J90" s="267"/>
      <c r="K90" s="267"/>
      <c r="L90" s="267"/>
      <c r="M90" s="267"/>
      <c r="N90" s="267"/>
      <c r="O90" s="267"/>
    </row>
    <row r="91" spans="1:15" s="1" customFormat="1" ht="27" customHeight="1" thickBot="1" x14ac:dyDescent="0.25">
      <c r="A91" s="41" t="s">
        <v>357</v>
      </c>
      <c r="B91" s="41" t="s">
        <v>373</v>
      </c>
      <c r="C91" s="43" t="s">
        <v>395</v>
      </c>
      <c r="D91" s="118">
        <v>17.2</v>
      </c>
      <c r="E91" s="42" t="s">
        <v>360</v>
      </c>
      <c r="F91" s="41" t="s">
        <v>361</v>
      </c>
      <c r="G91" s="8" t="s">
        <v>362</v>
      </c>
      <c r="H91" s="267"/>
      <c r="I91" s="267"/>
      <c r="J91" s="267"/>
      <c r="K91" s="267"/>
      <c r="L91" s="267"/>
      <c r="M91" s="267"/>
      <c r="N91" s="267"/>
      <c r="O91" s="267"/>
    </row>
    <row r="92" spans="1:15" s="1" customFormat="1" ht="27" customHeight="1" thickBot="1" x14ac:dyDescent="0.25">
      <c r="A92" s="41" t="s">
        <v>357</v>
      </c>
      <c r="B92" s="41" t="s">
        <v>396</v>
      </c>
      <c r="C92" s="43" t="s">
        <v>397</v>
      </c>
      <c r="D92" s="118">
        <v>45.107999999999997</v>
      </c>
      <c r="E92" s="42" t="s">
        <v>360</v>
      </c>
      <c r="F92" s="41" t="s">
        <v>361</v>
      </c>
      <c r="G92" s="8" t="s">
        <v>362</v>
      </c>
      <c r="H92" s="267"/>
      <c r="I92" s="267"/>
      <c r="J92" s="267"/>
      <c r="K92" s="267"/>
      <c r="L92" s="267"/>
      <c r="M92" s="267"/>
      <c r="N92" s="267"/>
      <c r="O92" s="267"/>
    </row>
    <row r="93" spans="1:15" s="1" customFormat="1" ht="27" customHeight="1" thickBot="1" x14ac:dyDescent="0.25">
      <c r="A93" s="41" t="s">
        <v>357</v>
      </c>
      <c r="B93" s="41" t="s">
        <v>304</v>
      </c>
      <c r="C93" s="43" t="s">
        <v>303</v>
      </c>
      <c r="D93" s="118">
        <v>43</v>
      </c>
      <c r="E93" s="42" t="s">
        <v>360</v>
      </c>
      <c r="F93" s="119" t="s">
        <v>301</v>
      </c>
      <c r="G93" s="8" t="s">
        <v>362</v>
      </c>
      <c r="H93" s="267"/>
      <c r="I93" s="267"/>
      <c r="J93" s="267"/>
      <c r="K93" s="267"/>
      <c r="L93" s="267"/>
      <c r="M93" s="267"/>
      <c r="N93" s="267"/>
      <c r="O93" s="267"/>
    </row>
    <row r="94" spans="1:15" s="1" customFormat="1" ht="27" customHeight="1" thickBot="1" x14ac:dyDescent="0.25">
      <c r="A94" s="41" t="s">
        <v>357</v>
      </c>
      <c r="B94" s="41" t="s">
        <v>304</v>
      </c>
      <c r="C94" s="43" t="s">
        <v>305</v>
      </c>
      <c r="D94" s="118">
        <v>44.3</v>
      </c>
      <c r="E94" s="42" t="s">
        <v>360</v>
      </c>
      <c r="F94" s="119" t="s">
        <v>301</v>
      </c>
      <c r="G94" s="8" t="s">
        <v>362</v>
      </c>
      <c r="H94" s="267"/>
      <c r="I94" s="267"/>
      <c r="J94" s="267"/>
      <c r="K94" s="267"/>
      <c r="L94" s="267"/>
      <c r="M94" s="267"/>
      <c r="N94" s="267"/>
      <c r="O94" s="267"/>
    </row>
    <row r="95" spans="1:15" s="1" customFormat="1" ht="27" customHeight="1" thickBot="1" x14ac:dyDescent="0.25">
      <c r="A95" s="41" t="s">
        <v>357</v>
      </c>
      <c r="B95" s="41" t="s">
        <v>304</v>
      </c>
      <c r="C95" s="43" t="s">
        <v>306</v>
      </c>
      <c r="D95" s="118">
        <v>47.3</v>
      </c>
      <c r="E95" s="42" t="s">
        <v>360</v>
      </c>
      <c r="F95" s="119" t="s">
        <v>301</v>
      </c>
      <c r="G95" s="8" t="s">
        <v>362</v>
      </c>
      <c r="H95" s="267"/>
      <c r="I95" s="267"/>
      <c r="J95" s="267"/>
      <c r="K95" s="267"/>
      <c r="L95" s="267"/>
      <c r="M95" s="267"/>
      <c r="N95" s="267"/>
      <c r="O95" s="267"/>
    </row>
    <row r="96" spans="1:15" s="1" customFormat="1" ht="27" customHeight="1" thickBot="1" x14ac:dyDescent="0.25">
      <c r="A96" s="41" t="s">
        <v>357</v>
      </c>
      <c r="B96" s="41" t="s">
        <v>304</v>
      </c>
      <c r="C96" s="43" t="s">
        <v>307</v>
      </c>
      <c r="D96" s="118">
        <v>44.1</v>
      </c>
      <c r="E96" s="42" t="s">
        <v>360</v>
      </c>
      <c r="F96" s="119" t="s">
        <v>301</v>
      </c>
      <c r="G96" s="8" t="s">
        <v>362</v>
      </c>
      <c r="H96" s="267"/>
      <c r="I96" s="267"/>
      <c r="J96" s="267"/>
      <c r="K96" s="267"/>
      <c r="L96" s="267"/>
      <c r="M96" s="267"/>
      <c r="N96" s="267"/>
      <c r="O96" s="267"/>
    </row>
    <row r="97" spans="1:15" s="1" customFormat="1" ht="27" customHeight="1" thickBot="1" x14ac:dyDescent="0.25">
      <c r="A97" s="41" t="s">
        <v>357</v>
      </c>
      <c r="B97" s="41" t="s">
        <v>304</v>
      </c>
      <c r="C97" s="43" t="s">
        <v>308</v>
      </c>
      <c r="D97" s="118">
        <v>44.3</v>
      </c>
      <c r="E97" s="42" t="s">
        <v>360</v>
      </c>
      <c r="F97" s="119" t="s">
        <v>301</v>
      </c>
      <c r="G97" s="8" t="s">
        <v>362</v>
      </c>
      <c r="H97" s="267"/>
      <c r="I97" s="267"/>
      <c r="J97" s="267"/>
      <c r="K97" s="267"/>
      <c r="L97" s="267"/>
      <c r="M97" s="267"/>
      <c r="N97" s="267"/>
      <c r="O97" s="267"/>
    </row>
    <row r="98" spans="1:15" s="1" customFormat="1" ht="27" customHeight="1" thickBot="1" x14ac:dyDescent="0.25">
      <c r="A98" s="41" t="s">
        <v>357</v>
      </c>
      <c r="B98" s="41" t="s">
        <v>304</v>
      </c>
      <c r="C98" s="43" t="s">
        <v>309</v>
      </c>
      <c r="D98" s="118">
        <v>42.8</v>
      </c>
      <c r="E98" s="42" t="s">
        <v>360</v>
      </c>
      <c r="F98" s="119" t="s">
        <v>301</v>
      </c>
      <c r="G98" s="8" t="s">
        <v>362</v>
      </c>
      <c r="H98" s="267"/>
      <c r="I98" s="267"/>
      <c r="J98" s="267"/>
      <c r="K98" s="267"/>
      <c r="L98" s="267"/>
      <c r="M98" s="267"/>
      <c r="N98" s="267"/>
      <c r="O98" s="267"/>
    </row>
    <row r="99" spans="1:15" s="1" customFormat="1" ht="27" customHeight="1" thickBot="1" x14ac:dyDescent="0.25">
      <c r="A99" s="41" t="s">
        <v>357</v>
      </c>
      <c r="B99" s="41" t="s">
        <v>304</v>
      </c>
      <c r="C99" s="43" t="s">
        <v>310</v>
      </c>
      <c r="D99" s="118">
        <v>42</v>
      </c>
      <c r="E99" s="42" t="s">
        <v>360</v>
      </c>
      <c r="F99" s="119" t="s">
        <v>301</v>
      </c>
      <c r="G99" s="8" t="s">
        <v>362</v>
      </c>
      <c r="H99" s="267"/>
      <c r="I99" s="267"/>
      <c r="J99" s="267"/>
      <c r="K99" s="267"/>
      <c r="L99" s="267"/>
      <c r="M99" s="267"/>
      <c r="N99" s="267"/>
      <c r="O99" s="267"/>
    </row>
    <row r="100" spans="1:15" s="1" customFormat="1" ht="27" customHeight="1" thickBot="1" x14ac:dyDescent="0.25">
      <c r="A100" s="41" t="s">
        <v>398</v>
      </c>
      <c r="B100" s="41" t="s">
        <v>365</v>
      </c>
      <c r="C100" s="43" t="s">
        <v>303</v>
      </c>
      <c r="D100" s="118">
        <v>832</v>
      </c>
      <c r="E100" s="42" t="s">
        <v>399</v>
      </c>
      <c r="F100" s="41" t="s">
        <v>361</v>
      </c>
      <c r="G100" s="8" t="s">
        <v>17</v>
      </c>
      <c r="H100" s="267"/>
      <c r="I100" s="267"/>
      <c r="J100" s="267"/>
      <c r="K100" s="267"/>
      <c r="L100" s="267"/>
      <c r="M100" s="267"/>
      <c r="N100" s="267"/>
      <c r="O100" s="267"/>
    </row>
    <row r="101" spans="1:15" s="1" customFormat="1" ht="27" customHeight="1" thickBot="1" x14ac:dyDescent="0.25">
      <c r="A101" s="41" t="s">
        <v>398</v>
      </c>
      <c r="B101" s="41" t="s">
        <v>365</v>
      </c>
      <c r="C101" s="43" t="s">
        <v>305</v>
      </c>
      <c r="D101" s="118">
        <v>745</v>
      </c>
      <c r="E101" s="42" t="s">
        <v>399</v>
      </c>
      <c r="F101" s="41" t="s">
        <v>361</v>
      </c>
      <c r="G101" s="8" t="s">
        <v>17</v>
      </c>
      <c r="H101" s="267"/>
      <c r="I101" s="267"/>
      <c r="J101" s="267"/>
      <c r="K101" s="267"/>
      <c r="L101" s="267"/>
      <c r="M101" s="267"/>
      <c r="N101" s="267"/>
      <c r="O101" s="267"/>
    </row>
    <row r="102" spans="1:15" s="1" customFormat="1" ht="27" customHeight="1" thickBot="1" x14ac:dyDescent="0.25">
      <c r="A102" s="41" t="s">
        <v>398</v>
      </c>
      <c r="B102" s="41" t="s">
        <v>365</v>
      </c>
      <c r="C102" s="43" t="s">
        <v>366</v>
      </c>
      <c r="D102" s="118">
        <v>970</v>
      </c>
      <c r="E102" s="42" t="s">
        <v>399</v>
      </c>
      <c r="F102" s="41" t="s">
        <v>361</v>
      </c>
      <c r="G102" s="8" t="s">
        <v>17</v>
      </c>
      <c r="H102" s="267"/>
      <c r="I102" s="267"/>
      <c r="J102" s="267"/>
      <c r="K102" s="267"/>
      <c r="L102" s="267"/>
      <c r="M102" s="267"/>
      <c r="N102" s="267"/>
      <c r="O102" s="267"/>
    </row>
    <row r="103" spans="1:15" s="1" customFormat="1" ht="27" customHeight="1" thickBot="1" x14ac:dyDescent="0.25">
      <c r="A103" s="41" t="s">
        <v>398</v>
      </c>
      <c r="B103" s="41" t="s">
        <v>365</v>
      </c>
      <c r="C103" s="43" t="s">
        <v>367</v>
      </c>
      <c r="D103" s="118">
        <v>970</v>
      </c>
      <c r="E103" s="42" t="s">
        <v>399</v>
      </c>
      <c r="F103" s="41" t="s">
        <v>361</v>
      </c>
      <c r="G103" s="8" t="s">
        <v>17</v>
      </c>
      <c r="H103" s="267"/>
      <c r="I103" s="267"/>
      <c r="J103" s="267"/>
      <c r="K103" s="267"/>
      <c r="L103" s="267"/>
      <c r="M103" s="267"/>
      <c r="N103" s="267"/>
      <c r="O103" s="267"/>
    </row>
    <row r="104" spans="1:15" s="1" customFormat="1" ht="27" customHeight="1" thickBot="1" x14ac:dyDescent="0.25">
      <c r="A104" s="41" t="s">
        <v>398</v>
      </c>
      <c r="B104" s="41" t="s">
        <v>365</v>
      </c>
      <c r="C104" s="43" t="s">
        <v>368</v>
      </c>
      <c r="D104" s="118">
        <v>794</v>
      </c>
      <c r="E104" s="42" t="s">
        <v>399</v>
      </c>
      <c r="F104" s="41" t="s">
        <v>361</v>
      </c>
      <c r="G104" s="8" t="s">
        <v>17</v>
      </c>
      <c r="H104" s="267"/>
      <c r="I104" s="267"/>
      <c r="J104" s="267"/>
      <c r="K104" s="267"/>
      <c r="L104" s="267"/>
      <c r="M104" s="267"/>
      <c r="N104" s="267"/>
      <c r="O104" s="267"/>
    </row>
    <row r="105" spans="1:15" s="1" customFormat="1" ht="27" customHeight="1" thickBot="1" x14ac:dyDescent="0.25">
      <c r="A105" s="41" t="s">
        <v>398</v>
      </c>
      <c r="B105" s="41" t="s">
        <v>365</v>
      </c>
      <c r="C105" s="43" t="s">
        <v>300</v>
      </c>
      <c r="D105" s="118">
        <v>793</v>
      </c>
      <c r="E105" s="42" t="s">
        <v>399</v>
      </c>
      <c r="F105" s="41" t="s">
        <v>361</v>
      </c>
      <c r="G105" s="8" t="s">
        <v>17</v>
      </c>
      <c r="H105" s="267"/>
      <c r="I105" s="267"/>
      <c r="J105" s="267"/>
      <c r="K105" s="267"/>
      <c r="L105" s="267"/>
      <c r="M105" s="267"/>
      <c r="N105" s="267"/>
      <c r="O105" s="267"/>
    </row>
    <row r="106" spans="1:15" s="1" customFormat="1" ht="27" customHeight="1" thickBot="1" x14ac:dyDescent="0.25">
      <c r="A106" s="41" t="s">
        <v>398</v>
      </c>
      <c r="B106" s="41" t="s">
        <v>365</v>
      </c>
      <c r="C106" s="43" t="s">
        <v>369</v>
      </c>
      <c r="D106" s="118">
        <v>890</v>
      </c>
      <c r="E106" s="42" t="s">
        <v>399</v>
      </c>
      <c r="F106" s="41" t="s">
        <v>361</v>
      </c>
      <c r="G106" s="8" t="s">
        <v>17</v>
      </c>
      <c r="H106" s="267"/>
      <c r="I106" s="267"/>
      <c r="J106" s="267"/>
      <c r="K106" s="267"/>
      <c r="L106" s="267"/>
      <c r="M106" s="267"/>
      <c r="N106" s="267"/>
      <c r="O106" s="267"/>
    </row>
    <row r="107" spans="1:15" s="1" customFormat="1" ht="27" customHeight="1" thickBot="1" x14ac:dyDescent="0.25">
      <c r="A107" s="41" t="s">
        <v>398</v>
      </c>
      <c r="B107" s="41" t="s">
        <v>365</v>
      </c>
      <c r="C107" s="43" t="s">
        <v>370</v>
      </c>
      <c r="D107" s="118">
        <v>780</v>
      </c>
      <c r="E107" s="42" t="s">
        <v>399</v>
      </c>
      <c r="F107" s="41" t="s">
        <v>361</v>
      </c>
      <c r="G107" s="8" t="s">
        <v>17</v>
      </c>
      <c r="H107" s="267"/>
      <c r="I107" s="267"/>
      <c r="J107" s="267"/>
      <c r="K107" s="267"/>
      <c r="L107" s="267"/>
      <c r="M107" s="267"/>
      <c r="N107" s="267"/>
      <c r="O107" s="267"/>
    </row>
    <row r="108" spans="1:15" s="1" customFormat="1" ht="27" customHeight="1" thickBot="1" x14ac:dyDescent="0.25">
      <c r="A108" s="41" t="s">
        <v>398</v>
      </c>
      <c r="B108" s="41" t="s">
        <v>365</v>
      </c>
      <c r="C108" s="43" t="s">
        <v>371</v>
      </c>
      <c r="D108" s="118">
        <v>780</v>
      </c>
      <c r="E108" s="42" t="s">
        <v>399</v>
      </c>
      <c r="F108" s="41" t="s">
        <v>361</v>
      </c>
      <c r="G108" s="8" t="s">
        <v>17</v>
      </c>
      <c r="H108" s="267"/>
      <c r="I108" s="267"/>
      <c r="J108" s="267"/>
      <c r="K108" s="267"/>
      <c r="L108" s="267"/>
      <c r="M108" s="267"/>
      <c r="N108" s="267"/>
      <c r="O108" s="267"/>
    </row>
    <row r="109" spans="1:15" s="1" customFormat="1" ht="39" thickBot="1" x14ac:dyDescent="0.25">
      <c r="A109" s="41" t="s">
        <v>718</v>
      </c>
      <c r="B109" s="41" t="s">
        <v>719</v>
      </c>
      <c r="C109" s="43" t="s">
        <v>400</v>
      </c>
      <c r="D109" s="118">
        <v>480</v>
      </c>
      <c r="E109" s="42" t="s">
        <v>401</v>
      </c>
      <c r="F109" s="41" t="s">
        <v>402</v>
      </c>
      <c r="G109" s="8" t="s">
        <v>17</v>
      </c>
      <c r="H109" s="267"/>
      <c r="I109" s="267"/>
      <c r="J109" s="267"/>
      <c r="K109" s="267"/>
      <c r="L109" s="267"/>
      <c r="M109" s="267"/>
      <c r="N109" s="267"/>
      <c r="O109" s="267"/>
    </row>
    <row r="110" spans="1:15" s="1" customFormat="1" ht="39" thickBot="1" x14ac:dyDescent="0.25">
      <c r="A110" s="41" t="s">
        <v>718</v>
      </c>
      <c r="B110" s="41" t="s">
        <v>719</v>
      </c>
      <c r="C110" s="43" t="s">
        <v>403</v>
      </c>
      <c r="D110" s="118">
        <v>700</v>
      </c>
      <c r="E110" s="42" t="s">
        <v>401</v>
      </c>
      <c r="F110" s="41" t="s">
        <v>404</v>
      </c>
      <c r="G110" s="8" t="s">
        <v>17</v>
      </c>
      <c r="H110" s="267"/>
      <c r="I110" s="267"/>
      <c r="J110" s="267"/>
      <c r="K110" s="267"/>
      <c r="L110" s="267"/>
      <c r="M110" s="267"/>
      <c r="N110" s="267"/>
      <c r="O110" s="267"/>
    </row>
    <row r="111" spans="1:15" s="1" customFormat="1" ht="39" thickBot="1" x14ac:dyDescent="0.25">
      <c r="A111" s="41" t="s">
        <v>718</v>
      </c>
      <c r="B111" s="41" t="s">
        <v>719</v>
      </c>
      <c r="C111" s="43" t="s">
        <v>405</v>
      </c>
      <c r="D111" s="118">
        <v>520</v>
      </c>
      <c r="E111" s="42" t="s">
        <v>401</v>
      </c>
      <c r="F111" s="41" t="s">
        <v>402</v>
      </c>
      <c r="G111" s="8" t="s">
        <v>17</v>
      </c>
      <c r="H111" s="267"/>
      <c r="I111" s="267"/>
      <c r="J111" s="267"/>
      <c r="K111" s="267"/>
      <c r="L111" s="267"/>
      <c r="M111" s="267"/>
      <c r="N111" s="267"/>
      <c r="O111" s="267"/>
    </row>
    <row r="112" spans="1:15" s="1" customFormat="1" ht="39" thickBot="1" x14ac:dyDescent="0.25">
      <c r="A112" s="41" t="s">
        <v>718</v>
      </c>
      <c r="B112" s="41" t="s">
        <v>719</v>
      </c>
      <c r="C112" s="43" t="s">
        <v>406</v>
      </c>
      <c r="D112" s="118">
        <v>550</v>
      </c>
      <c r="E112" s="42" t="s">
        <v>401</v>
      </c>
      <c r="F112" s="41" t="s">
        <v>407</v>
      </c>
      <c r="G112" s="8" t="s">
        <v>17</v>
      </c>
      <c r="H112" s="267"/>
      <c r="I112" s="267"/>
      <c r="J112" s="267"/>
      <c r="K112" s="267"/>
      <c r="L112" s="267"/>
      <c r="M112" s="267"/>
      <c r="N112" s="267"/>
      <c r="O112" s="267"/>
    </row>
    <row r="113" spans="1:15" s="1" customFormat="1" ht="39" thickBot="1" x14ac:dyDescent="0.25">
      <c r="A113" s="41" t="s">
        <v>408</v>
      </c>
      <c r="B113" s="41" t="s">
        <v>409</v>
      </c>
      <c r="C113" s="43" t="s">
        <v>410</v>
      </c>
      <c r="D113" s="118">
        <v>5000</v>
      </c>
      <c r="E113" s="42" t="s">
        <v>411</v>
      </c>
      <c r="F113" s="41" t="s">
        <v>412</v>
      </c>
      <c r="G113" s="8" t="s">
        <v>17</v>
      </c>
      <c r="H113" s="267"/>
      <c r="I113" s="267"/>
      <c r="J113" s="267"/>
      <c r="K113" s="267"/>
      <c r="L113" s="267"/>
      <c r="M113" s="267"/>
      <c r="N113" s="267"/>
      <c r="O113" s="267"/>
    </row>
    <row r="114" spans="1:15" ht="15.75" thickBot="1" x14ac:dyDescent="0.3"/>
    <row r="115" spans="1:15" s="1" customFormat="1" ht="19.5" thickBot="1" x14ac:dyDescent="0.25">
      <c r="A115" s="264" t="s">
        <v>706</v>
      </c>
      <c r="B115" s="74"/>
      <c r="C115" s="73"/>
      <c r="D115" s="73"/>
      <c r="E115" s="75"/>
      <c r="F115" s="164"/>
      <c r="G115" s="74"/>
      <c r="H115" s="74"/>
      <c r="I115" s="74"/>
      <c r="J115" s="74"/>
      <c r="K115" s="74"/>
      <c r="L115" s="74"/>
      <c r="M115" s="74"/>
      <c r="N115" s="74"/>
      <c r="O115" s="74"/>
    </row>
    <row r="116" spans="1:15" s="186" customFormat="1" ht="13.5" thickBot="1" x14ac:dyDescent="0.3">
      <c r="A116" s="290" t="s">
        <v>126</v>
      </c>
      <c r="B116" s="290" t="s">
        <v>97</v>
      </c>
      <c r="C116" s="290" t="s">
        <v>145</v>
      </c>
      <c r="D116" s="290" t="s">
        <v>98</v>
      </c>
      <c r="E116" s="290" t="s">
        <v>99</v>
      </c>
      <c r="F116" s="290" t="s">
        <v>146</v>
      </c>
      <c r="G116" s="290" t="s">
        <v>77</v>
      </c>
      <c r="H116" s="290" t="s">
        <v>432</v>
      </c>
      <c r="I116" s="290"/>
      <c r="J116" s="290"/>
      <c r="K116" s="290"/>
      <c r="L116" s="290"/>
      <c r="M116" s="290"/>
      <c r="N116" s="290"/>
      <c r="O116" s="290"/>
    </row>
    <row r="117" spans="1:15" s="186" customFormat="1" ht="51.75" thickBot="1" x14ac:dyDescent="0.3">
      <c r="A117" s="290"/>
      <c r="B117" s="290"/>
      <c r="C117" s="290"/>
      <c r="D117" s="290"/>
      <c r="E117" s="290"/>
      <c r="F117" s="290"/>
      <c r="G117" s="290"/>
      <c r="H117" s="40" t="s">
        <v>696</v>
      </c>
      <c r="I117" s="40" t="s">
        <v>697</v>
      </c>
      <c r="J117" s="40" t="s">
        <v>132</v>
      </c>
      <c r="K117" s="40" t="s">
        <v>129</v>
      </c>
      <c r="L117" s="40" t="s">
        <v>698</v>
      </c>
      <c r="M117" s="40" t="s">
        <v>699</v>
      </c>
      <c r="N117" s="40" t="s">
        <v>130</v>
      </c>
      <c r="O117" s="40" t="s">
        <v>131</v>
      </c>
    </row>
    <row r="118" spans="1:15" s="1" customFormat="1" ht="47.85" customHeight="1" thickBot="1" x14ac:dyDescent="0.25">
      <c r="A118" s="41" t="s">
        <v>477</v>
      </c>
      <c r="B118" s="41" t="s">
        <v>528</v>
      </c>
      <c r="C118" s="41" t="s">
        <v>527</v>
      </c>
      <c r="D118" s="47">
        <v>0.108</v>
      </c>
      <c r="E118" s="41" t="s">
        <v>478</v>
      </c>
      <c r="F118" s="77" t="s">
        <v>726</v>
      </c>
      <c r="G118" s="76" t="s">
        <v>479</v>
      </c>
      <c r="H118" s="267"/>
      <c r="I118" s="267"/>
      <c r="J118" s="267"/>
      <c r="K118" s="267"/>
      <c r="L118" s="267"/>
      <c r="M118" s="267"/>
      <c r="N118" s="267"/>
      <c r="O118" s="267"/>
    </row>
    <row r="119" spans="1:15" s="1" customFormat="1" ht="47.85" customHeight="1" thickBot="1" x14ac:dyDescent="0.25">
      <c r="A119" s="41" t="s">
        <v>480</v>
      </c>
      <c r="B119" s="41" t="s">
        <v>529</v>
      </c>
      <c r="C119" s="41" t="s">
        <v>527</v>
      </c>
      <c r="D119" s="47">
        <v>6.5000000000000002E-2</v>
      </c>
      <c r="E119" s="41" t="s">
        <v>478</v>
      </c>
      <c r="F119" s="77" t="s">
        <v>481</v>
      </c>
      <c r="G119" s="76" t="s">
        <v>482</v>
      </c>
      <c r="H119" s="267"/>
      <c r="I119" s="267"/>
      <c r="J119" s="267"/>
      <c r="K119" s="267"/>
      <c r="L119" s="267"/>
      <c r="M119" s="267"/>
      <c r="N119" s="267"/>
      <c r="O119" s="267"/>
    </row>
    <row r="120" spans="1:15" s="1" customFormat="1" ht="47.85" customHeight="1" thickBot="1" x14ac:dyDescent="0.25">
      <c r="A120" s="41" t="s">
        <v>483</v>
      </c>
      <c r="B120" s="41" t="s">
        <v>530</v>
      </c>
      <c r="C120" s="41" t="s">
        <v>527</v>
      </c>
      <c r="D120" s="47">
        <v>0.03</v>
      </c>
      <c r="E120" s="41" t="s">
        <v>478</v>
      </c>
      <c r="F120" s="77" t="s">
        <v>484</v>
      </c>
      <c r="G120" s="76" t="s">
        <v>485</v>
      </c>
      <c r="H120" s="267"/>
      <c r="I120" s="267"/>
      <c r="J120" s="267"/>
      <c r="K120" s="267"/>
      <c r="L120" s="267"/>
      <c r="M120" s="267"/>
      <c r="N120" s="267"/>
      <c r="O120" s="267"/>
    </row>
    <row r="121" spans="1:15" ht="15.75" thickBot="1" x14ac:dyDescent="0.3"/>
    <row r="122" spans="1:15" s="1" customFormat="1" ht="16.5" thickBot="1" x14ac:dyDescent="0.25">
      <c r="A122" s="264" t="s">
        <v>311</v>
      </c>
      <c r="B122" s="31"/>
      <c r="C122" s="31"/>
      <c r="D122" s="31"/>
      <c r="E122" s="31"/>
      <c r="F122" s="31"/>
      <c r="G122" s="74"/>
      <c r="H122" s="74"/>
      <c r="I122" s="74"/>
      <c r="J122" s="74"/>
      <c r="K122" s="74"/>
      <c r="L122" s="74"/>
      <c r="M122" s="74"/>
      <c r="N122" s="74"/>
      <c r="O122" s="74"/>
    </row>
    <row r="123" spans="1:15" s="186" customFormat="1" ht="13.5" thickBot="1" x14ac:dyDescent="0.3">
      <c r="A123" s="290" t="s">
        <v>126</v>
      </c>
      <c r="B123" s="290" t="s">
        <v>97</v>
      </c>
      <c r="C123" s="290" t="s">
        <v>145</v>
      </c>
      <c r="D123" s="290" t="s">
        <v>98</v>
      </c>
      <c r="E123" s="290" t="s">
        <v>99</v>
      </c>
      <c r="F123" s="290" t="s">
        <v>146</v>
      </c>
      <c r="G123" s="290" t="s">
        <v>77</v>
      </c>
      <c r="H123" s="290" t="s">
        <v>432</v>
      </c>
      <c r="I123" s="290"/>
      <c r="J123" s="290"/>
      <c r="K123" s="290"/>
      <c r="L123" s="290"/>
      <c r="M123" s="290"/>
      <c r="N123" s="290"/>
      <c r="O123" s="290"/>
    </row>
    <row r="124" spans="1:15" s="186" customFormat="1" ht="51.75" thickBot="1" x14ac:dyDescent="0.3">
      <c r="A124" s="290"/>
      <c r="B124" s="290"/>
      <c r="C124" s="290"/>
      <c r="D124" s="290"/>
      <c r="E124" s="290"/>
      <c r="F124" s="290"/>
      <c r="G124" s="290"/>
      <c r="H124" s="40" t="s">
        <v>696</v>
      </c>
      <c r="I124" s="40" t="s">
        <v>697</v>
      </c>
      <c r="J124" s="40" t="s">
        <v>132</v>
      </c>
      <c r="K124" s="40" t="s">
        <v>129</v>
      </c>
      <c r="L124" s="40" t="s">
        <v>698</v>
      </c>
      <c r="M124" s="40" t="s">
        <v>699</v>
      </c>
      <c r="N124" s="40" t="s">
        <v>130</v>
      </c>
      <c r="O124" s="40" t="s">
        <v>131</v>
      </c>
    </row>
    <row r="125" spans="1:15" s="1" customFormat="1" ht="17.25" customHeight="1" thickBot="1" x14ac:dyDescent="0.25">
      <c r="A125" s="41"/>
      <c r="B125" s="43"/>
      <c r="C125" s="43"/>
      <c r="D125" s="6"/>
      <c r="E125" s="42"/>
      <c r="F125" s="43"/>
      <c r="G125" s="8"/>
      <c r="H125" s="258"/>
      <c r="I125" s="258"/>
      <c r="J125" s="259"/>
      <c r="K125" s="260"/>
      <c r="L125" s="260"/>
      <c r="M125" s="260"/>
      <c r="N125" s="260"/>
      <c r="O125" s="260"/>
    </row>
    <row r="126" spans="1:15" s="1" customFormat="1" ht="17.25" customHeight="1" thickBot="1" x14ac:dyDescent="0.25">
      <c r="A126" s="41"/>
      <c r="B126" s="41"/>
      <c r="C126" s="43"/>
      <c r="D126" s="6"/>
      <c r="E126" s="42"/>
      <c r="F126" s="41"/>
      <c r="G126" s="8"/>
      <c r="H126" s="258"/>
      <c r="I126" s="258"/>
      <c r="J126" s="259"/>
      <c r="K126" s="260"/>
      <c r="L126" s="260"/>
      <c r="M126" s="260"/>
      <c r="N126" s="260"/>
      <c r="O126" s="260"/>
    </row>
    <row r="127" spans="1:15" s="1" customFormat="1" ht="17.25" customHeight="1" thickBot="1" x14ac:dyDescent="0.25">
      <c r="A127" s="41"/>
      <c r="B127" s="41"/>
      <c r="C127" s="43"/>
      <c r="D127" s="6"/>
      <c r="E127" s="42"/>
      <c r="F127" s="41"/>
      <c r="G127" s="8"/>
      <c r="H127" s="258"/>
      <c r="I127" s="258"/>
      <c r="J127" s="259"/>
      <c r="K127" s="260"/>
      <c r="L127" s="260"/>
      <c r="M127" s="260"/>
      <c r="N127" s="260"/>
      <c r="O127" s="260"/>
    </row>
    <row r="128" spans="1:15" s="1" customFormat="1" ht="17.25" customHeight="1" thickBot="1" x14ac:dyDescent="0.25">
      <c r="A128" s="41"/>
      <c r="B128" s="41"/>
      <c r="C128" s="43"/>
      <c r="D128" s="6"/>
      <c r="E128" s="42"/>
      <c r="F128" s="41"/>
      <c r="G128" s="8"/>
      <c r="H128" s="258"/>
      <c r="I128" s="258"/>
      <c r="J128" s="259"/>
      <c r="K128" s="260"/>
      <c r="L128" s="260"/>
      <c r="M128" s="260"/>
      <c r="N128" s="260"/>
      <c r="O128" s="260"/>
    </row>
    <row r="129" spans="1:15" s="1" customFormat="1" ht="17.25" customHeight="1" thickBot="1" x14ac:dyDescent="0.25">
      <c r="A129" s="41"/>
      <c r="B129" s="41"/>
      <c r="C129" s="43"/>
      <c r="D129" s="6"/>
      <c r="E129" s="42"/>
      <c r="F129" s="41"/>
      <c r="G129" s="8"/>
      <c r="H129" s="258"/>
      <c r="I129" s="258"/>
      <c r="J129" s="259"/>
      <c r="K129" s="260"/>
      <c r="L129" s="260"/>
      <c r="M129" s="260"/>
      <c r="N129" s="260"/>
      <c r="O129" s="260"/>
    </row>
    <row r="130" spans="1:15" s="1" customFormat="1" ht="17.25" customHeight="1" thickBot="1" x14ac:dyDescent="0.25">
      <c r="A130" s="41"/>
      <c r="B130" s="41"/>
      <c r="C130" s="43"/>
      <c r="D130" s="6"/>
      <c r="E130" s="42"/>
      <c r="F130" s="41"/>
      <c r="G130" s="8"/>
      <c r="H130" s="258"/>
      <c r="I130" s="258"/>
      <c r="J130" s="259"/>
      <c r="K130" s="260"/>
      <c r="L130" s="260"/>
      <c r="M130" s="260"/>
      <c r="N130" s="260"/>
      <c r="O130" s="260"/>
    </row>
  </sheetData>
  <mergeCells count="24">
    <mergeCell ref="H116:O116"/>
    <mergeCell ref="G2:G3"/>
    <mergeCell ref="H2:O2"/>
    <mergeCell ref="A116:A117"/>
    <mergeCell ref="B116:B117"/>
    <mergeCell ref="C116:C117"/>
    <mergeCell ref="D116:D117"/>
    <mergeCell ref="E116:E117"/>
    <mergeCell ref="F116:F117"/>
    <mergeCell ref="G116:G117"/>
    <mergeCell ref="A2:A3"/>
    <mergeCell ref="B2:B3"/>
    <mergeCell ref="C2:C3"/>
    <mergeCell ref="D2:D3"/>
    <mergeCell ref="E2:E3"/>
    <mergeCell ref="F2:F3"/>
    <mergeCell ref="G123:G124"/>
    <mergeCell ref="H123:O123"/>
    <mergeCell ref="A123:A124"/>
    <mergeCell ref="B123:B124"/>
    <mergeCell ref="C123:C124"/>
    <mergeCell ref="D123:D124"/>
    <mergeCell ref="E123:E124"/>
    <mergeCell ref="F123:F124"/>
  </mergeCells>
  <phoneticPr fontId="8" type="noConversion"/>
  <dataValidations count="3">
    <dataValidation type="list" allowBlank="1" showInputMessage="1" showErrorMessage="1" sqref="I125:I130" xr:uid="{9FC31EC5-8559-4684-A6BA-516C428DC07B}">
      <formula1>"Taken from data management platform,Internal control spreadsheet,Direct measurement,Estimated,Adoption of assumptions (please describe),Extrapolation (please describe),Sample (please describe),Other"</formula1>
    </dataValidation>
    <dataValidation type="list" allowBlank="1" showInputMessage="1" showErrorMessage="1" sqref="J125:J130" xr:uid="{95615EF9-9923-40E0-A6E0-0470A4330B7B}">
      <formula1>"Primary Data,Third Party Data,Secondary Data - Calculated based on actual data,Secondary Data - Based on assumptions,Secondary Data - Extrapolation,Other evidence"</formula1>
    </dataValidation>
    <dataValidation type="list" allowBlank="1" showInputMessage="1" showErrorMessage="1" sqref="H125:H130" xr:uid="{C7918925-FEF1-4B90-94F2-4AA1155ABA88}">
      <formula1>"To be monitored,Not monitored"</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N13"/>
  <sheetViews>
    <sheetView zoomScaleNormal="100" workbookViewId="0"/>
  </sheetViews>
  <sheetFormatPr defaultColWidth="9.28515625" defaultRowHeight="15" x14ac:dyDescent="0.25"/>
  <cols>
    <col min="1" max="1" width="31.28515625" style="29" customWidth="1"/>
    <col min="2" max="2" width="26.5703125" style="29" customWidth="1"/>
    <col min="3" max="3" width="24" style="29" customWidth="1"/>
    <col min="4" max="6" width="26.5703125" style="29" customWidth="1"/>
    <col min="7" max="7" width="18.85546875" style="29" customWidth="1"/>
    <col min="8" max="8" width="16.28515625" style="29" customWidth="1"/>
    <col min="9" max="9" width="13.85546875" style="29" customWidth="1"/>
    <col min="10" max="10" width="14.85546875" style="29" customWidth="1"/>
    <col min="11" max="11" width="22.28515625" style="29" customWidth="1"/>
    <col min="12" max="12" width="28" style="29" customWidth="1"/>
    <col min="13" max="13" width="15.42578125" style="29" customWidth="1"/>
    <col min="14" max="14" width="19.85546875" style="29" customWidth="1"/>
    <col min="15" max="16384" width="9.28515625" style="29"/>
  </cols>
  <sheetData>
    <row r="1" spans="1:14" s="186" customFormat="1" ht="16.5" thickBot="1" x14ac:dyDescent="0.3">
      <c r="A1" s="264" t="s">
        <v>18</v>
      </c>
      <c r="B1" s="269"/>
      <c r="C1" s="73"/>
      <c r="D1" s="73"/>
      <c r="E1" s="75"/>
      <c r="F1" s="164"/>
      <c r="G1" s="74"/>
      <c r="H1" s="74"/>
      <c r="I1" s="73"/>
      <c r="J1" s="270"/>
      <c r="K1" s="270"/>
      <c r="L1" s="270"/>
      <c r="M1" s="270"/>
      <c r="N1" s="270"/>
    </row>
    <row r="2" spans="1:14" ht="31.5" customHeight="1" thickBot="1" x14ac:dyDescent="0.3">
      <c r="A2" s="291" t="s">
        <v>413</v>
      </c>
      <c r="B2" s="291" t="s">
        <v>98</v>
      </c>
      <c r="C2" s="291" t="s">
        <v>686</v>
      </c>
      <c r="D2" s="291" t="s">
        <v>97</v>
      </c>
      <c r="E2" s="291" t="s">
        <v>146</v>
      </c>
      <c r="F2" s="291" t="s">
        <v>77</v>
      </c>
      <c r="G2" s="286" t="s">
        <v>432</v>
      </c>
      <c r="H2" s="287"/>
      <c r="I2" s="287"/>
      <c r="J2" s="287"/>
      <c r="K2" s="287"/>
      <c r="L2" s="287"/>
      <c r="M2" s="287"/>
      <c r="N2" s="287"/>
    </row>
    <row r="3" spans="1:14" ht="90.6" customHeight="1" thickBot="1" x14ac:dyDescent="0.3">
      <c r="A3" s="292"/>
      <c r="B3" s="292"/>
      <c r="C3" s="292"/>
      <c r="D3" s="292"/>
      <c r="E3" s="292"/>
      <c r="F3" s="292"/>
      <c r="G3" s="40" t="s">
        <v>696</v>
      </c>
      <c r="H3" s="40" t="s">
        <v>697</v>
      </c>
      <c r="I3" s="40" t="s">
        <v>132</v>
      </c>
      <c r="J3" s="40" t="s">
        <v>129</v>
      </c>
      <c r="K3" s="40" t="s">
        <v>698</v>
      </c>
      <c r="L3" s="40" t="s">
        <v>699</v>
      </c>
      <c r="M3" s="40" t="s">
        <v>130</v>
      </c>
      <c r="N3" s="40" t="s">
        <v>131</v>
      </c>
    </row>
    <row r="4" spans="1:14" ht="75.95" customHeight="1" thickBot="1" x14ac:dyDescent="0.3">
      <c r="A4" s="41"/>
      <c r="B4" s="9"/>
      <c r="C4" s="41"/>
      <c r="D4" s="41"/>
      <c r="E4" s="41"/>
      <c r="F4" s="271"/>
      <c r="G4" s="258"/>
      <c r="H4" s="258"/>
      <c r="I4" s="259"/>
      <c r="J4" s="260"/>
      <c r="K4" s="260"/>
      <c r="L4" s="260"/>
      <c r="M4" s="260"/>
      <c r="N4" s="260"/>
    </row>
    <row r="5" spans="1:14" ht="15.75" thickBot="1" x14ac:dyDescent="0.3">
      <c r="A5" s="41"/>
      <c r="B5" s="9"/>
      <c r="C5" s="41"/>
      <c r="D5" s="41"/>
      <c r="E5" s="41"/>
      <c r="F5" s="271"/>
      <c r="G5" s="258"/>
      <c r="H5" s="258"/>
      <c r="I5" s="259"/>
      <c r="J5" s="260"/>
      <c r="K5" s="260"/>
      <c r="L5" s="260"/>
      <c r="M5" s="260"/>
      <c r="N5" s="260"/>
    </row>
    <row r="6" spans="1:14" ht="15.75" thickBot="1" x14ac:dyDescent="0.3">
      <c r="A6" s="41"/>
      <c r="B6" s="9"/>
      <c r="C6" s="41"/>
      <c r="D6" s="41"/>
      <c r="E6" s="41"/>
      <c r="F6" s="271"/>
      <c r="G6" s="258"/>
      <c r="H6" s="258"/>
      <c r="I6" s="259"/>
      <c r="J6" s="260"/>
      <c r="K6" s="260"/>
      <c r="L6" s="260"/>
      <c r="M6" s="260"/>
      <c r="N6" s="260"/>
    </row>
    <row r="7" spans="1:14" ht="15.75" thickBot="1" x14ac:dyDescent="0.3">
      <c r="A7" s="41"/>
      <c r="B7" s="9"/>
      <c r="C7" s="41"/>
      <c r="D7" s="41"/>
      <c r="E7" s="41"/>
      <c r="F7" s="271"/>
      <c r="G7" s="258"/>
      <c r="H7" s="258"/>
      <c r="I7" s="259"/>
      <c r="J7" s="260"/>
      <c r="K7" s="260"/>
      <c r="L7" s="260"/>
      <c r="M7" s="260"/>
      <c r="N7" s="260"/>
    </row>
    <row r="8" spans="1:14" ht="15.75" thickBot="1" x14ac:dyDescent="0.3">
      <c r="A8" s="41"/>
      <c r="B8" s="9"/>
      <c r="C8" s="42"/>
      <c r="D8" s="43"/>
      <c r="E8" s="43"/>
      <c r="F8" s="271"/>
      <c r="G8" s="258"/>
      <c r="H8" s="258"/>
      <c r="I8" s="259"/>
      <c r="J8" s="260"/>
      <c r="K8" s="260"/>
      <c r="L8" s="260"/>
      <c r="M8" s="260"/>
      <c r="N8" s="260"/>
    </row>
    <row r="9" spans="1:14" ht="15.75" thickBot="1" x14ac:dyDescent="0.3">
      <c r="A9" s="41"/>
      <c r="B9" s="9"/>
      <c r="C9" s="42"/>
      <c r="D9" s="43"/>
      <c r="E9" s="43"/>
      <c r="F9" s="271"/>
      <c r="G9" s="258"/>
      <c r="H9" s="258"/>
      <c r="I9" s="259"/>
      <c r="J9" s="260"/>
      <c r="K9" s="260"/>
      <c r="L9" s="260"/>
      <c r="M9" s="260"/>
      <c r="N9" s="260"/>
    </row>
    <row r="11" spans="1:14" s="1" customFormat="1" x14ac:dyDescent="0.25">
      <c r="A11" s="29"/>
      <c r="B11" s="29"/>
      <c r="C11" s="29"/>
      <c r="D11" s="272"/>
      <c r="E11" s="272"/>
      <c r="F11" s="272"/>
      <c r="G11" s="29"/>
      <c r="H11" s="29"/>
      <c r="I11" s="29"/>
      <c r="J11" s="29"/>
      <c r="K11" s="29"/>
      <c r="L11" s="29"/>
      <c r="M11" s="29"/>
      <c r="N11" s="29"/>
    </row>
    <row r="12" spans="1:14" s="1" customFormat="1" x14ac:dyDescent="0.25">
      <c r="A12" s="29"/>
      <c r="B12" s="29"/>
      <c r="C12" s="29"/>
      <c r="D12" s="272"/>
      <c r="E12" s="272"/>
      <c r="F12" s="272"/>
      <c r="G12" s="29"/>
      <c r="H12" s="29"/>
      <c r="I12" s="29"/>
      <c r="J12" s="29"/>
      <c r="K12" s="29"/>
      <c r="L12" s="29"/>
      <c r="M12" s="29"/>
      <c r="N12" s="29"/>
    </row>
    <row r="13" spans="1:14" s="1" customFormat="1" x14ac:dyDescent="0.25">
      <c r="A13" s="29"/>
      <c r="B13" s="29"/>
      <c r="C13" s="29"/>
      <c r="G13" s="29"/>
      <c r="H13" s="29"/>
      <c r="I13" s="29"/>
      <c r="J13" s="29"/>
      <c r="K13" s="29"/>
      <c r="L13" s="29"/>
      <c r="M13" s="29"/>
      <c r="N13" s="29"/>
    </row>
  </sheetData>
  <mergeCells count="7">
    <mergeCell ref="F2:F3"/>
    <mergeCell ref="G2:N2"/>
    <mergeCell ref="A2:A3"/>
    <mergeCell ref="B2:B3"/>
    <mergeCell ref="C2:C3"/>
    <mergeCell ref="D2:D3"/>
    <mergeCell ref="E2:E3"/>
  </mergeCells>
  <dataValidations count="3">
    <dataValidation type="list" allowBlank="1" showInputMessage="1" showErrorMessage="1" sqref="I4:I9" xr:uid="{5777F5DF-D49C-47D0-9FD7-4A3D6D96D10A}">
      <formula1>"Primary Data,Third Party Data,Secondary Data - Calculated based on actual data,Secondary Data - Based on assumptions,Secondary Data - Extrapolation,Other evidence"</formula1>
    </dataValidation>
    <dataValidation type="list" allowBlank="1" showInputMessage="1" showErrorMessage="1" sqref="H4:H9" xr:uid="{4F011F1D-AAA1-4654-A769-66AAEC4ED64D}">
      <formula1>"Taken from data management platform,Internal control spreadsheet,Direct measurement,Estimated,Adoption of assumptions (please describe),Extrapolation (please describe),Sample (please describe),Other"</formula1>
    </dataValidation>
    <dataValidation type="list" allowBlank="1" showInputMessage="1" showErrorMessage="1" sqref="G4:G9" xr:uid="{DBDEC2B0-884A-44BE-ADF0-3B7964FE3816}">
      <formula1>"To be monitored,Not monitored"</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tabColor theme="4" tint="-0.249977111117893"/>
  </sheetPr>
  <dimension ref="A1:B17"/>
  <sheetViews>
    <sheetView zoomScaleNormal="100" workbookViewId="0"/>
  </sheetViews>
  <sheetFormatPr defaultColWidth="9.140625" defaultRowHeight="12.75" x14ac:dyDescent="0.2"/>
  <cols>
    <col min="1" max="1" width="30.140625" style="1" customWidth="1"/>
    <col min="2" max="2" width="110.42578125" style="1" customWidth="1"/>
    <col min="3" max="16384" width="9.140625" style="1"/>
  </cols>
  <sheetData>
    <row r="1" spans="1:2" ht="15" x14ac:dyDescent="0.2">
      <c r="A1" s="38" t="s">
        <v>415</v>
      </c>
      <c r="B1" s="46"/>
    </row>
    <row r="3" spans="1:2" x14ac:dyDescent="0.2">
      <c r="A3" s="46" t="s">
        <v>532</v>
      </c>
      <c r="B3" s="46"/>
    </row>
    <row r="4" spans="1:2" ht="150.75" customHeight="1" x14ac:dyDescent="0.2">
      <c r="A4" s="293" t="s">
        <v>607</v>
      </c>
      <c r="B4" s="293"/>
    </row>
    <row r="5" spans="1:2" x14ac:dyDescent="0.2">
      <c r="B5" s="61"/>
    </row>
    <row r="6" spans="1:2" ht="40.5" customHeight="1" x14ac:dyDescent="0.2">
      <c r="A6" s="294" t="s">
        <v>531</v>
      </c>
      <c r="B6" s="294"/>
    </row>
    <row r="7" spans="1:2" x14ac:dyDescent="0.2">
      <c r="A7" s="61"/>
      <c r="B7" s="61"/>
    </row>
    <row r="8" spans="1:2" x14ac:dyDescent="0.2">
      <c r="A8" s="46" t="s">
        <v>20</v>
      </c>
      <c r="B8" s="60"/>
    </row>
    <row r="9" spans="1:2" ht="13.5" thickBot="1" x14ac:dyDescent="0.25">
      <c r="A9" s="58"/>
      <c r="B9" s="57"/>
    </row>
    <row r="10" spans="1:2" ht="29.25" thickBot="1" x14ac:dyDescent="0.25">
      <c r="A10" s="58" t="s">
        <v>416</v>
      </c>
      <c r="B10" s="57" t="s">
        <v>606</v>
      </c>
    </row>
    <row r="11" spans="1:2" ht="16.5" thickBot="1" x14ac:dyDescent="0.25">
      <c r="A11" s="58" t="s">
        <v>417</v>
      </c>
      <c r="B11" s="59" t="s">
        <v>613</v>
      </c>
    </row>
    <row r="12" spans="1:2" ht="16.5" thickBot="1" x14ac:dyDescent="0.25">
      <c r="A12" s="58" t="s">
        <v>418</v>
      </c>
      <c r="B12" s="59" t="s">
        <v>614</v>
      </c>
    </row>
    <row r="13" spans="1:2" ht="16.5" thickBot="1" x14ac:dyDescent="0.25">
      <c r="A13" s="58" t="s">
        <v>419</v>
      </c>
      <c r="B13" s="57" t="s">
        <v>620</v>
      </c>
    </row>
    <row r="14" spans="1:2" ht="16.5" thickBot="1" x14ac:dyDescent="0.25">
      <c r="A14" s="58" t="s">
        <v>449</v>
      </c>
      <c r="B14" s="57" t="s">
        <v>615</v>
      </c>
    </row>
    <row r="15" spans="1:2" ht="29.25" thickBot="1" x14ac:dyDescent="0.25">
      <c r="A15" s="58" t="s">
        <v>420</v>
      </c>
      <c r="B15" s="57" t="s">
        <v>616</v>
      </c>
    </row>
    <row r="16" spans="1:2" ht="16.5" thickBot="1" x14ac:dyDescent="0.25">
      <c r="A16" s="58" t="s">
        <v>421</v>
      </c>
      <c r="B16" s="57" t="s">
        <v>617</v>
      </c>
    </row>
    <row r="17" spans="1:2" ht="16.5" thickBot="1" x14ac:dyDescent="0.25">
      <c r="A17" s="58" t="s">
        <v>422</v>
      </c>
      <c r="B17" s="57" t="s">
        <v>618</v>
      </c>
    </row>
  </sheetData>
  <mergeCells count="2">
    <mergeCell ref="A4:B4"/>
    <mergeCell ref="A6:B6"/>
  </mergeCells>
  <pageMargins left="0.7" right="0.7" top="0.75" bottom="0.75" header="0.3" footer="0.3"/>
  <pageSetup paperSize="9" orientation="portrait"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tabColor theme="4" tint="-0.249977111117893"/>
  </sheetPr>
  <dimension ref="A1:AK36"/>
  <sheetViews>
    <sheetView zoomScaleNormal="100" workbookViewId="0"/>
  </sheetViews>
  <sheetFormatPr defaultColWidth="9.140625" defaultRowHeight="12.75" x14ac:dyDescent="0.25"/>
  <cols>
    <col min="1" max="1" width="22.140625" style="62" customWidth="1"/>
    <col min="2" max="2" width="19.42578125" style="62" customWidth="1"/>
    <col min="3" max="3" width="48.5703125" style="62" customWidth="1"/>
    <col min="4" max="4" width="13.85546875" style="62" bestFit="1" customWidth="1"/>
    <col min="5" max="15" width="8.7109375" style="62" customWidth="1"/>
    <col min="16" max="16" width="27.7109375" style="62" customWidth="1"/>
    <col min="17" max="17" width="10.85546875" style="62" customWidth="1"/>
    <col min="18" max="27" width="12.7109375" style="62" customWidth="1"/>
    <col min="28" max="28" width="11.140625" style="62" customWidth="1"/>
    <col min="29" max="29" width="12.5703125" style="62" customWidth="1"/>
    <col min="30" max="30" width="17.42578125" style="62" customWidth="1"/>
    <col min="31" max="31" width="14.42578125" style="62" customWidth="1"/>
    <col min="32" max="33" width="12.5703125" style="62" customWidth="1"/>
    <col min="34" max="34" width="20.140625" style="62" customWidth="1"/>
    <col min="35" max="35" width="28.7109375" style="62" customWidth="1"/>
    <col min="36" max="36" width="16.28515625" style="62" customWidth="1"/>
    <col min="37" max="37" width="24.140625" style="62" customWidth="1"/>
    <col min="38" max="16384" width="9.140625" style="62"/>
  </cols>
  <sheetData>
    <row r="1" spans="1:37" ht="15" x14ac:dyDescent="0.25">
      <c r="A1" s="18" t="s">
        <v>573</v>
      </c>
      <c r="B1" s="39"/>
      <c r="C1" s="39"/>
      <c r="D1" s="39"/>
      <c r="E1" s="39"/>
      <c r="F1" s="39"/>
      <c r="G1" s="39"/>
      <c r="H1" s="39"/>
      <c r="I1" s="39"/>
      <c r="J1" s="39"/>
    </row>
    <row r="2" spans="1:37" x14ac:dyDescent="0.2">
      <c r="A2" s="72" t="s">
        <v>115</v>
      </c>
    </row>
    <row r="3" spans="1:37" x14ac:dyDescent="0.2">
      <c r="A3" s="72" t="s">
        <v>116</v>
      </c>
    </row>
    <row r="4" spans="1:37" ht="15.75" thickBot="1" x14ac:dyDescent="0.3">
      <c r="C4"/>
    </row>
    <row r="5" spans="1:37" ht="15.75" thickBot="1" x14ac:dyDescent="0.3">
      <c r="A5" s="90" t="s">
        <v>117</v>
      </c>
      <c r="B5" s="90" t="s">
        <v>118</v>
      </c>
      <c r="C5" s="13" t="s">
        <v>576</v>
      </c>
      <c r="F5" s="71"/>
      <c r="G5" s="71"/>
    </row>
    <row r="6" spans="1:37" ht="18.75" thickBot="1" x14ac:dyDescent="0.4">
      <c r="A6" s="104" t="s">
        <v>423</v>
      </c>
      <c r="B6" s="105">
        <f t="shared" ref="B6:B13" si="0">SUMIF($A$23:$A$36,$A6,$AB$23:$AB$36)</f>
        <v>0</v>
      </c>
      <c r="C6" s="141"/>
    </row>
    <row r="7" spans="1:37" ht="18.75" thickBot="1" x14ac:dyDescent="0.4">
      <c r="A7" s="104" t="s">
        <v>424</v>
      </c>
      <c r="B7" s="105">
        <f t="shared" si="0"/>
        <v>0</v>
      </c>
      <c r="C7" s="141"/>
    </row>
    <row r="8" spans="1:37" ht="18.75" thickBot="1" x14ac:dyDescent="0.4">
      <c r="A8" s="91" t="s">
        <v>425</v>
      </c>
      <c r="B8" s="100">
        <f t="shared" si="0"/>
        <v>0</v>
      </c>
      <c r="C8" s="141"/>
    </row>
    <row r="9" spans="1:37" ht="18.75" thickBot="1" x14ac:dyDescent="0.4">
      <c r="A9" s="91" t="s">
        <v>426</v>
      </c>
      <c r="B9" s="100">
        <f t="shared" si="0"/>
        <v>0</v>
      </c>
      <c r="C9" s="141"/>
      <c r="F9" s="70"/>
    </row>
    <row r="10" spans="1:37" ht="18.75" thickBot="1" x14ac:dyDescent="0.4">
      <c r="A10" s="91" t="s">
        <v>427</v>
      </c>
      <c r="B10" s="100">
        <f t="shared" si="0"/>
        <v>0</v>
      </c>
      <c r="C10" s="141"/>
    </row>
    <row r="11" spans="1:37" ht="18.75" thickBot="1" x14ac:dyDescent="0.4">
      <c r="A11" s="91" t="s">
        <v>428</v>
      </c>
      <c r="B11" s="100">
        <f t="shared" si="0"/>
        <v>0</v>
      </c>
      <c r="C11" s="141"/>
    </row>
    <row r="12" spans="1:37" ht="18.75" thickBot="1" x14ac:dyDescent="0.4">
      <c r="A12" s="91" t="s">
        <v>429</v>
      </c>
      <c r="B12" s="100">
        <f t="shared" si="0"/>
        <v>0</v>
      </c>
      <c r="C12" s="141"/>
    </row>
    <row r="13" spans="1:37" ht="18.75" thickBot="1" x14ac:dyDescent="0.4">
      <c r="A13" s="91" t="s">
        <v>430</v>
      </c>
      <c r="B13" s="100">
        <f t="shared" si="0"/>
        <v>0</v>
      </c>
      <c r="C13" s="141"/>
    </row>
    <row r="14" spans="1:37" ht="15.75" thickBot="1" x14ac:dyDescent="0.3">
      <c r="A14" s="92" t="s">
        <v>122</v>
      </c>
      <c r="B14" s="101">
        <f>SUM(B6:B7)-SUM(B8:B13)</f>
        <v>0</v>
      </c>
      <c r="C14" s="141" t="s">
        <v>520</v>
      </c>
      <c r="D14" s="114" t="str">
        <f>+ IF(AND(ROUND(B14,2)=ROUND(AB21,2),ROUND(B14,2)=ROUND(SUM(R21:AA21),2)),"OK","ERR")</f>
        <v>OK</v>
      </c>
      <c r="E14" s="3"/>
    </row>
    <row r="15" spans="1:37" ht="15" x14ac:dyDescent="0.25">
      <c r="A15" s="29"/>
      <c r="B15" s="29"/>
    </row>
    <row r="16" spans="1:37" ht="15" x14ac:dyDescent="0.25">
      <c r="A16" s="18" t="s">
        <v>574</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row>
    <row r="17" spans="1:37" ht="15.75" thickBot="1" x14ac:dyDescent="0.3">
      <c r="A17" s="29"/>
      <c r="B17" s="29"/>
    </row>
    <row r="18" spans="1:37" s="153" customFormat="1" ht="13.5" customHeight="1" thickBot="1" x14ac:dyDescent="0.3">
      <c r="A18" s="295" t="s">
        <v>700</v>
      </c>
      <c r="B18" s="296"/>
      <c r="C18" s="296"/>
      <c r="D18" s="296"/>
      <c r="E18" s="296"/>
      <c r="F18" s="296"/>
      <c r="G18" s="296"/>
      <c r="H18" s="296"/>
      <c r="I18" s="296"/>
      <c r="J18" s="296"/>
      <c r="K18" s="296"/>
      <c r="L18" s="296"/>
      <c r="M18" s="296"/>
      <c r="N18" s="296"/>
      <c r="O18" s="296"/>
      <c r="P18" s="297"/>
      <c r="Q18" s="286" t="s">
        <v>431</v>
      </c>
      <c r="R18" s="287"/>
      <c r="S18" s="287"/>
      <c r="T18" s="287"/>
      <c r="U18" s="287"/>
      <c r="V18" s="287"/>
      <c r="W18" s="287"/>
      <c r="X18" s="287"/>
      <c r="Y18" s="287"/>
      <c r="Z18" s="287"/>
      <c r="AA18" s="287"/>
      <c r="AB18" s="287"/>
      <c r="AC18" s="298"/>
      <c r="AD18" s="286" t="s">
        <v>432</v>
      </c>
      <c r="AE18" s="287"/>
      <c r="AF18" s="287"/>
      <c r="AG18" s="287"/>
      <c r="AH18" s="287"/>
      <c r="AI18" s="287"/>
      <c r="AJ18" s="287"/>
      <c r="AK18" s="287"/>
    </row>
    <row r="19" spans="1:37" s="153" customFormat="1" ht="51.75" thickBot="1" x14ac:dyDescent="0.3">
      <c r="A19" s="40" t="s">
        <v>701</v>
      </c>
      <c r="B19" s="40" t="s">
        <v>687</v>
      </c>
      <c r="C19" s="40" t="s">
        <v>97</v>
      </c>
      <c r="D19" s="40" t="s">
        <v>686</v>
      </c>
      <c r="E19" s="40" t="s">
        <v>105</v>
      </c>
      <c r="F19" s="40" t="s">
        <v>106</v>
      </c>
      <c r="G19" s="40" t="s">
        <v>107</v>
      </c>
      <c r="H19" s="40" t="s">
        <v>108</v>
      </c>
      <c r="I19" s="40" t="s">
        <v>109</v>
      </c>
      <c r="J19" s="40" t="s">
        <v>110</v>
      </c>
      <c r="K19" s="40" t="s">
        <v>111</v>
      </c>
      <c r="L19" s="40" t="s">
        <v>112</v>
      </c>
      <c r="M19" s="40" t="s">
        <v>113</v>
      </c>
      <c r="N19" s="40" t="s">
        <v>114</v>
      </c>
      <c r="O19" s="40" t="s">
        <v>96</v>
      </c>
      <c r="P19" s="40" t="s">
        <v>703</v>
      </c>
      <c r="Q19" s="40" t="s">
        <v>433</v>
      </c>
      <c r="R19" s="40" t="s">
        <v>563</v>
      </c>
      <c r="S19" s="40" t="s">
        <v>564</v>
      </c>
      <c r="T19" s="40" t="s">
        <v>565</v>
      </c>
      <c r="U19" s="40" t="s">
        <v>566</v>
      </c>
      <c r="V19" s="40" t="s">
        <v>567</v>
      </c>
      <c r="W19" s="40" t="s">
        <v>568</v>
      </c>
      <c r="X19" s="40" t="s">
        <v>569</v>
      </c>
      <c r="Y19" s="40" t="s">
        <v>570</v>
      </c>
      <c r="Z19" s="40" t="s">
        <v>571</v>
      </c>
      <c r="AA19" s="40" t="s">
        <v>572</v>
      </c>
      <c r="AB19" s="40" t="s">
        <v>434</v>
      </c>
      <c r="AC19" s="40" t="s">
        <v>702</v>
      </c>
      <c r="AD19" s="40" t="s">
        <v>696</v>
      </c>
      <c r="AE19" s="40" t="s">
        <v>697</v>
      </c>
      <c r="AF19" s="40" t="s">
        <v>132</v>
      </c>
      <c r="AG19" s="40" t="s">
        <v>129</v>
      </c>
      <c r="AH19" s="40" t="s">
        <v>698</v>
      </c>
      <c r="AI19" s="40" t="s">
        <v>699</v>
      </c>
      <c r="AJ19" s="40" t="s">
        <v>130</v>
      </c>
      <c r="AK19" s="40" t="s">
        <v>131</v>
      </c>
    </row>
    <row r="20" spans="1:37" s="55" customFormat="1" ht="15.75" thickBot="1" x14ac:dyDescent="0.3">
      <c r="A20" s="268" t="s">
        <v>435</v>
      </c>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0"/>
      <c r="AE20" s="10"/>
      <c r="AF20" s="17"/>
      <c r="AG20" s="17"/>
      <c r="AH20" s="10"/>
      <c r="AI20" s="17"/>
      <c r="AJ20" s="10"/>
      <c r="AK20" s="17"/>
    </row>
    <row r="21" spans="1:37" s="55" customFormat="1" ht="19.5" thickBot="1" x14ac:dyDescent="0.3">
      <c r="A21" s="51" t="s">
        <v>436</v>
      </c>
      <c r="B21" s="69"/>
      <c r="C21" s="69"/>
      <c r="D21" s="69"/>
      <c r="E21" s="69"/>
      <c r="F21" s="69"/>
      <c r="G21" s="69"/>
      <c r="H21" s="69"/>
      <c r="I21" s="69"/>
      <c r="J21" s="69"/>
      <c r="K21" s="69"/>
      <c r="L21" s="69"/>
      <c r="M21" s="69"/>
      <c r="N21" s="69"/>
      <c r="O21" s="69"/>
      <c r="P21" s="69"/>
      <c r="Q21" s="102"/>
      <c r="R21" s="154">
        <f t="shared" ref="R21:AB21" si="1">SUM(R23:R24)-SUM(R25:R27,R34:R36)</f>
        <v>0</v>
      </c>
      <c r="S21" s="154">
        <f t="shared" si="1"/>
        <v>0</v>
      </c>
      <c r="T21" s="154">
        <f t="shared" si="1"/>
        <v>0</v>
      </c>
      <c r="U21" s="154">
        <f t="shared" si="1"/>
        <v>0</v>
      </c>
      <c r="V21" s="154">
        <f t="shared" si="1"/>
        <v>0</v>
      </c>
      <c r="W21" s="154">
        <f t="shared" si="1"/>
        <v>0</v>
      </c>
      <c r="X21" s="154">
        <f t="shared" si="1"/>
        <v>0</v>
      </c>
      <c r="Y21" s="154">
        <f t="shared" si="1"/>
        <v>0</v>
      </c>
      <c r="Z21" s="154">
        <f t="shared" si="1"/>
        <v>0</v>
      </c>
      <c r="AA21" s="154">
        <f t="shared" si="1"/>
        <v>0</v>
      </c>
      <c r="AB21" s="154">
        <f t="shared" si="1"/>
        <v>0</v>
      </c>
      <c r="AC21" s="261"/>
      <c r="AD21" s="69"/>
      <c r="AE21" s="69"/>
      <c r="AF21" s="69"/>
      <c r="AG21" s="69"/>
      <c r="AH21" s="69"/>
      <c r="AI21" s="69"/>
      <c r="AJ21" s="69"/>
      <c r="AK21" s="69"/>
    </row>
    <row r="22" spans="1:37" s="55" customFormat="1" ht="15.75" thickBot="1" x14ac:dyDescent="0.3">
      <c r="A22" s="268" t="s">
        <v>707</v>
      </c>
      <c r="B22" s="17"/>
      <c r="C22" s="17"/>
      <c r="D22" s="17"/>
      <c r="E22" s="17"/>
      <c r="F22" s="17"/>
      <c r="G22" s="17"/>
      <c r="H22" s="17"/>
      <c r="I22" s="17"/>
      <c r="J22" s="17"/>
      <c r="K22" s="17"/>
      <c r="L22" s="17"/>
      <c r="M22" s="17"/>
      <c r="N22" s="17"/>
      <c r="O22" s="17"/>
      <c r="P22" s="17"/>
      <c r="Q22" s="79"/>
      <c r="R22" s="155"/>
      <c r="S22" s="155"/>
      <c r="T22" s="155"/>
      <c r="U22" s="155"/>
      <c r="V22" s="155"/>
      <c r="W22" s="155"/>
      <c r="X22" s="155"/>
      <c r="Y22" s="155"/>
      <c r="Z22" s="155"/>
      <c r="AA22" s="155"/>
      <c r="AB22" s="155"/>
      <c r="AC22" s="17"/>
      <c r="AD22" s="10"/>
      <c r="AE22" s="10"/>
      <c r="AF22" s="17"/>
      <c r="AG22" s="17"/>
      <c r="AH22" s="10"/>
      <c r="AI22" s="17"/>
      <c r="AJ22" s="10"/>
      <c r="AK22" s="17"/>
    </row>
    <row r="23" spans="1:37" ht="57.75" thickBot="1" x14ac:dyDescent="0.3">
      <c r="A23" s="64" t="s">
        <v>437</v>
      </c>
      <c r="B23" s="68" t="s">
        <v>438</v>
      </c>
      <c r="C23" s="67" t="s">
        <v>439</v>
      </c>
      <c r="D23" s="68" t="s">
        <v>440</v>
      </c>
      <c r="E23" s="158"/>
      <c r="F23" s="158"/>
      <c r="G23" s="158"/>
      <c r="H23" s="158"/>
      <c r="I23" s="158"/>
      <c r="J23" s="158"/>
      <c r="K23" s="158"/>
      <c r="L23" s="158"/>
      <c r="M23" s="158"/>
      <c r="N23" s="158"/>
      <c r="O23" s="156">
        <f>SUM(E23:N23)</f>
        <v>0</v>
      </c>
      <c r="P23" s="66"/>
      <c r="Q23" s="69"/>
      <c r="R23" s="156">
        <f t="shared" ref="R23:AA27" si="2">E23</f>
        <v>0</v>
      </c>
      <c r="S23" s="156">
        <f t="shared" si="2"/>
        <v>0</v>
      </c>
      <c r="T23" s="156">
        <f t="shared" si="2"/>
        <v>0</v>
      </c>
      <c r="U23" s="156">
        <f t="shared" si="2"/>
        <v>0</v>
      </c>
      <c r="V23" s="156">
        <f t="shared" si="2"/>
        <v>0</v>
      </c>
      <c r="W23" s="156">
        <f t="shared" si="2"/>
        <v>0</v>
      </c>
      <c r="X23" s="156">
        <f t="shared" si="2"/>
        <v>0</v>
      </c>
      <c r="Y23" s="156">
        <f t="shared" si="2"/>
        <v>0</v>
      </c>
      <c r="Z23" s="156">
        <f t="shared" si="2"/>
        <v>0</v>
      </c>
      <c r="AA23" s="156">
        <f t="shared" si="2"/>
        <v>0</v>
      </c>
      <c r="AB23" s="156">
        <f>SUM(R23:AA23)</f>
        <v>0</v>
      </c>
      <c r="AC23" s="261"/>
      <c r="AD23" s="258"/>
      <c r="AE23" s="258"/>
      <c r="AF23" s="259"/>
      <c r="AG23" s="260"/>
      <c r="AH23" s="260"/>
      <c r="AI23" s="260"/>
      <c r="AJ23" s="260"/>
      <c r="AK23" s="260"/>
    </row>
    <row r="24" spans="1:37" ht="115.5" customHeight="1" thickBot="1" x14ac:dyDescent="0.3">
      <c r="A24" s="64" t="s">
        <v>441</v>
      </c>
      <c r="B24" s="68" t="s">
        <v>442</v>
      </c>
      <c r="C24" s="67" t="s">
        <v>443</v>
      </c>
      <c r="D24" s="63" t="s">
        <v>440</v>
      </c>
      <c r="E24" s="158"/>
      <c r="F24" s="158"/>
      <c r="G24" s="158"/>
      <c r="H24" s="158"/>
      <c r="I24" s="158"/>
      <c r="J24" s="158"/>
      <c r="K24" s="158"/>
      <c r="L24" s="158"/>
      <c r="M24" s="158"/>
      <c r="N24" s="158"/>
      <c r="O24" s="156">
        <f>SUM(E24:N24)</f>
        <v>0</v>
      </c>
      <c r="P24" s="66" t="s">
        <v>444</v>
      </c>
      <c r="Q24" s="69"/>
      <c r="R24" s="156">
        <f t="shared" si="2"/>
        <v>0</v>
      </c>
      <c r="S24" s="156">
        <f t="shared" si="2"/>
        <v>0</v>
      </c>
      <c r="T24" s="156">
        <f t="shared" si="2"/>
        <v>0</v>
      </c>
      <c r="U24" s="156">
        <f t="shared" si="2"/>
        <v>0</v>
      </c>
      <c r="V24" s="156">
        <f t="shared" si="2"/>
        <v>0</v>
      </c>
      <c r="W24" s="156">
        <f t="shared" si="2"/>
        <v>0</v>
      </c>
      <c r="X24" s="156">
        <f t="shared" si="2"/>
        <v>0</v>
      </c>
      <c r="Y24" s="156">
        <f t="shared" si="2"/>
        <v>0</v>
      </c>
      <c r="Z24" s="156">
        <f t="shared" si="2"/>
        <v>0</v>
      </c>
      <c r="AA24" s="156">
        <f t="shared" si="2"/>
        <v>0</v>
      </c>
      <c r="AB24" s="156">
        <f>SUM(R24:AA24)</f>
        <v>0</v>
      </c>
      <c r="AC24" s="261"/>
      <c r="AD24" s="258"/>
      <c r="AE24" s="258"/>
      <c r="AF24" s="259"/>
      <c r="AG24" s="260"/>
      <c r="AH24" s="260"/>
      <c r="AI24" s="260"/>
      <c r="AJ24" s="260"/>
      <c r="AK24" s="260"/>
    </row>
    <row r="25" spans="1:37" ht="26.25" thickBot="1" x14ac:dyDescent="0.3">
      <c r="A25" s="64" t="s">
        <v>445</v>
      </c>
      <c r="B25" s="63" t="s">
        <v>446</v>
      </c>
      <c r="C25" s="50" t="s">
        <v>447</v>
      </c>
      <c r="D25" s="63" t="s">
        <v>440</v>
      </c>
      <c r="E25" s="159"/>
      <c r="F25" s="159"/>
      <c r="G25" s="159"/>
      <c r="H25" s="159"/>
      <c r="I25" s="159"/>
      <c r="J25" s="159"/>
      <c r="K25" s="159"/>
      <c r="L25" s="159"/>
      <c r="M25" s="159"/>
      <c r="N25" s="159"/>
      <c r="O25" s="157">
        <f t="shared" ref="O25:O36" si="3">SUM(E25:N25)</f>
        <v>0</v>
      </c>
      <c r="P25" s="44"/>
      <c r="Q25" s="69"/>
      <c r="R25" s="157">
        <f t="shared" si="2"/>
        <v>0</v>
      </c>
      <c r="S25" s="157">
        <f t="shared" si="2"/>
        <v>0</v>
      </c>
      <c r="T25" s="157">
        <f t="shared" si="2"/>
        <v>0</v>
      </c>
      <c r="U25" s="157">
        <f t="shared" si="2"/>
        <v>0</v>
      </c>
      <c r="V25" s="157">
        <f t="shared" si="2"/>
        <v>0</v>
      </c>
      <c r="W25" s="157">
        <f t="shared" si="2"/>
        <v>0</v>
      </c>
      <c r="X25" s="157">
        <f t="shared" si="2"/>
        <v>0</v>
      </c>
      <c r="Y25" s="157">
        <f t="shared" si="2"/>
        <v>0</v>
      </c>
      <c r="Z25" s="157">
        <f t="shared" si="2"/>
        <v>0</v>
      </c>
      <c r="AA25" s="157">
        <f t="shared" si="2"/>
        <v>0</v>
      </c>
      <c r="AB25" s="156">
        <f t="shared" ref="AB25:AB27" si="4">SUM(R25:AA25)</f>
        <v>0</v>
      </c>
      <c r="AC25" s="262"/>
      <c r="AD25" s="258"/>
      <c r="AE25" s="258"/>
      <c r="AF25" s="259"/>
      <c r="AG25" s="260"/>
      <c r="AH25" s="260"/>
      <c r="AI25" s="260"/>
      <c r="AJ25" s="260"/>
      <c r="AK25" s="260"/>
    </row>
    <row r="26" spans="1:37" ht="26.25" thickBot="1" x14ac:dyDescent="0.3">
      <c r="A26" s="64" t="s">
        <v>448</v>
      </c>
      <c r="B26" s="63" t="s">
        <v>446</v>
      </c>
      <c r="C26" s="50" t="s">
        <v>644</v>
      </c>
      <c r="D26" s="63" t="s">
        <v>440</v>
      </c>
      <c r="E26" s="159"/>
      <c r="F26" s="159"/>
      <c r="G26" s="159"/>
      <c r="H26" s="159"/>
      <c r="I26" s="159"/>
      <c r="J26" s="159"/>
      <c r="K26" s="159"/>
      <c r="L26" s="159"/>
      <c r="M26" s="159"/>
      <c r="N26" s="159"/>
      <c r="O26" s="157">
        <f t="shared" si="3"/>
        <v>0</v>
      </c>
      <c r="P26" s="44"/>
      <c r="Q26" s="69"/>
      <c r="R26" s="157">
        <f t="shared" si="2"/>
        <v>0</v>
      </c>
      <c r="S26" s="157">
        <f t="shared" si="2"/>
        <v>0</v>
      </c>
      <c r="T26" s="157">
        <f t="shared" si="2"/>
        <v>0</v>
      </c>
      <c r="U26" s="157">
        <f t="shared" si="2"/>
        <v>0</v>
      </c>
      <c r="V26" s="157">
        <f t="shared" si="2"/>
        <v>0</v>
      </c>
      <c r="W26" s="157">
        <f t="shared" si="2"/>
        <v>0</v>
      </c>
      <c r="X26" s="157">
        <f t="shared" si="2"/>
        <v>0</v>
      </c>
      <c r="Y26" s="157">
        <f t="shared" si="2"/>
        <v>0</v>
      </c>
      <c r="Z26" s="157">
        <f t="shared" si="2"/>
        <v>0</v>
      </c>
      <c r="AA26" s="157">
        <f t="shared" si="2"/>
        <v>0</v>
      </c>
      <c r="AB26" s="156">
        <f t="shared" si="4"/>
        <v>0</v>
      </c>
      <c r="AC26" s="262"/>
      <c r="AD26" s="258"/>
      <c r="AE26" s="258"/>
      <c r="AF26" s="259"/>
      <c r="AG26" s="260"/>
      <c r="AH26" s="260"/>
      <c r="AI26" s="260"/>
      <c r="AJ26" s="260"/>
      <c r="AK26" s="260"/>
    </row>
    <row r="27" spans="1:37" ht="16.5" customHeight="1" thickBot="1" x14ac:dyDescent="0.3">
      <c r="A27" s="50" t="s">
        <v>449</v>
      </c>
      <c r="B27" s="63" t="s">
        <v>446</v>
      </c>
      <c r="C27" s="50" t="s">
        <v>450</v>
      </c>
      <c r="D27" s="63" t="s">
        <v>440</v>
      </c>
      <c r="E27" s="159"/>
      <c r="F27" s="159"/>
      <c r="G27" s="159"/>
      <c r="H27" s="159"/>
      <c r="I27" s="159"/>
      <c r="J27" s="159"/>
      <c r="K27" s="159"/>
      <c r="L27" s="159"/>
      <c r="M27" s="159"/>
      <c r="N27" s="159"/>
      <c r="O27" s="157">
        <f t="shared" si="3"/>
        <v>0</v>
      </c>
      <c r="P27" s="44"/>
      <c r="Q27" s="69"/>
      <c r="R27" s="157">
        <f t="shared" si="2"/>
        <v>0</v>
      </c>
      <c r="S27" s="157">
        <f t="shared" si="2"/>
        <v>0</v>
      </c>
      <c r="T27" s="157">
        <f t="shared" si="2"/>
        <v>0</v>
      </c>
      <c r="U27" s="157">
        <f t="shared" si="2"/>
        <v>0</v>
      </c>
      <c r="V27" s="157">
        <f t="shared" si="2"/>
        <v>0</v>
      </c>
      <c r="W27" s="157">
        <f t="shared" si="2"/>
        <v>0</v>
      </c>
      <c r="X27" s="157">
        <f t="shared" si="2"/>
        <v>0</v>
      </c>
      <c r="Y27" s="157">
        <f t="shared" si="2"/>
        <v>0</v>
      </c>
      <c r="Z27" s="157">
        <f t="shared" si="2"/>
        <v>0</v>
      </c>
      <c r="AA27" s="157">
        <f t="shared" si="2"/>
        <v>0</v>
      </c>
      <c r="AB27" s="156">
        <f t="shared" si="4"/>
        <v>0</v>
      </c>
      <c r="AC27" s="262"/>
      <c r="AD27" s="258"/>
      <c r="AE27" s="258"/>
      <c r="AF27" s="259"/>
      <c r="AG27" s="260"/>
      <c r="AH27" s="260"/>
      <c r="AI27" s="260"/>
      <c r="AJ27" s="260"/>
      <c r="AK27" s="260"/>
    </row>
    <row r="28" spans="1:37" ht="26.25" thickBot="1" x14ac:dyDescent="0.3">
      <c r="A28" s="50" t="s">
        <v>451</v>
      </c>
      <c r="B28" s="63" t="s">
        <v>452</v>
      </c>
      <c r="C28" s="50" t="s">
        <v>453</v>
      </c>
      <c r="D28" s="63" t="s">
        <v>454</v>
      </c>
      <c r="E28" s="159"/>
      <c r="F28" s="159"/>
      <c r="G28" s="159"/>
      <c r="H28" s="159"/>
      <c r="I28" s="159"/>
      <c r="J28" s="159"/>
      <c r="K28" s="159"/>
      <c r="L28" s="159"/>
      <c r="M28" s="159"/>
      <c r="N28" s="159"/>
      <c r="O28" s="157">
        <f t="shared" si="3"/>
        <v>0</v>
      </c>
      <c r="P28" s="44" t="s">
        <v>455</v>
      </c>
      <c r="Q28" s="69"/>
      <c r="R28" s="69"/>
      <c r="S28" s="69"/>
      <c r="T28" s="69"/>
      <c r="U28" s="69"/>
      <c r="V28" s="69"/>
      <c r="W28" s="69"/>
      <c r="X28" s="69"/>
      <c r="Y28" s="69"/>
      <c r="Z28" s="69"/>
      <c r="AA28" s="69"/>
      <c r="AB28" s="69"/>
      <c r="AC28" s="69"/>
      <c r="AD28" s="258"/>
      <c r="AE28" s="258"/>
      <c r="AF28" s="259"/>
      <c r="AG28" s="260"/>
      <c r="AH28" s="260"/>
      <c r="AI28" s="260"/>
      <c r="AJ28" s="260"/>
      <c r="AK28" s="260"/>
    </row>
    <row r="29" spans="1:37" ht="26.25" thickBot="1" x14ac:dyDescent="0.3">
      <c r="A29" s="64" t="s">
        <v>456</v>
      </c>
      <c r="B29" s="63" t="s">
        <v>457</v>
      </c>
      <c r="C29" s="50" t="s">
        <v>458</v>
      </c>
      <c r="D29" s="63" t="s">
        <v>454</v>
      </c>
      <c r="E29" s="159"/>
      <c r="F29" s="159"/>
      <c r="G29" s="159"/>
      <c r="H29" s="159"/>
      <c r="I29" s="159"/>
      <c r="J29" s="159"/>
      <c r="K29" s="159"/>
      <c r="L29" s="159"/>
      <c r="M29" s="159"/>
      <c r="N29" s="159"/>
      <c r="O29" s="157">
        <f t="shared" si="3"/>
        <v>0</v>
      </c>
      <c r="P29" s="44" t="s">
        <v>455</v>
      </c>
      <c r="Q29" s="69"/>
      <c r="R29" s="69"/>
      <c r="S29" s="69"/>
      <c r="T29" s="69"/>
      <c r="U29" s="69"/>
      <c r="V29" s="69"/>
      <c r="W29" s="69"/>
      <c r="X29" s="69"/>
      <c r="Y29" s="69"/>
      <c r="Z29" s="69"/>
      <c r="AA29" s="69"/>
      <c r="AB29" s="69"/>
      <c r="AC29" s="69"/>
      <c r="AD29" s="258"/>
      <c r="AE29" s="258"/>
      <c r="AF29" s="259"/>
      <c r="AG29" s="260"/>
      <c r="AH29" s="260"/>
      <c r="AI29" s="260"/>
      <c r="AJ29" s="260"/>
      <c r="AK29" s="260"/>
    </row>
    <row r="30" spans="1:37" ht="26.25" thickBot="1" x14ac:dyDescent="0.3">
      <c r="A30" s="50" t="s">
        <v>459</v>
      </c>
      <c r="B30" s="63" t="s">
        <v>460</v>
      </c>
      <c r="C30" s="50" t="s">
        <v>461</v>
      </c>
      <c r="D30" s="63" t="s">
        <v>454</v>
      </c>
      <c r="E30" s="159"/>
      <c r="F30" s="159"/>
      <c r="G30" s="159"/>
      <c r="H30" s="159"/>
      <c r="I30" s="159"/>
      <c r="J30" s="159"/>
      <c r="K30" s="159"/>
      <c r="L30" s="159"/>
      <c r="M30" s="159"/>
      <c r="N30" s="159"/>
      <c r="O30" s="157">
        <f t="shared" si="3"/>
        <v>0</v>
      </c>
      <c r="P30" s="44" t="s">
        <v>455</v>
      </c>
      <c r="Q30" s="69"/>
      <c r="R30" s="69"/>
      <c r="S30" s="69"/>
      <c r="T30" s="69"/>
      <c r="U30" s="69"/>
      <c r="V30" s="69"/>
      <c r="W30" s="69"/>
      <c r="X30" s="69"/>
      <c r="Y30" s="69"/>
      <c r="Z30" s="69"/>
      <c r="AA30" s="69"/>
      <c r="AB30" s="69"/>
      <c r="AC30" s="69"/>
      <c r="AD30" s="258"/>
      <c r="AE30" s="258"/>
      <c r="AF30" s="259"/>
      <c r="AG30" s="260"/>
      <c r="AH30" s="260"/>
      <c r="AI30" s="260"/>
      <c r="AJ30" s="260"/>
      <c r="AK30" s="260"/>
    </row>
    <row r="31" spans="1:37" ht="32.25" customHeight="1" thickBot="1" x14ac:dyDescent="0.3">
      <c r="A31" s="65" t="s">
        <v>462</v>
      </c>
      <c r="B31" s="63" t="s">
        <v>463</v>
      </c>
      <c r="C31" s="50" t="s">
        <v>464</v>
      </c>
      <c r="D31" s="63" t="s">
        <v>440</v>
      </c>
      <c r="E31" s="159"/>
      <c r="F31" s="159"/>
      <c r="G31" s="159"/>
      <c r="H31" s="159"/>
      <c r="I31" s="159"/>
      <c r="J31" s="159"/>
      <c r="K31" s="159"/>
      <c r="L31" s="159"/>
      <c r="M31" s="159"/>
      <c r="N31" s="159"/>
      <c r="O31" s="157">
        <f t="shared" si="3"/>
        <v>0</v>
      </c>
      <c r="P31" s="44"/>
      <c r="Q31" s="69"/>
      <c r="R31" s="69"/>
      <c r="S31" s="69"/>
      <c r="T31" s="69"/>
      <c r="U31" s="69"/>
      <c r="V31" s="69"/>
      <c r="W31" s="69"/>
      <c r="X31" s="69"/>
      <c r="Y31" s="69"/>
      <c r="Z31" s="69"/>
      <c r="AA31" s="69"/>
      <c r="AB31" s="69"/>
      <c r="AC31" s="69"/>
      <c r="AD31" s="258"/>
      <c r="AE31" s="258"/>
      <c r="AF31" s="259"/>
      <c r="AG31" s="260"/>
      <c r="AH31" s="260"/>
      <c r="AI31" s="260"/>
      <c r="AJ31" s="260"/>
      <c r="AK31" s="260"/>
    </row>
    <row r="32" spans="1:37" ht="32.25" customHeight="1" thickBot="1" x14ac:dyDescent="0.3">
      <c r="A32" s="64" t="s">
        <v>468</v>
      </c>
      <c r="B32" s="63" t="s">
        <v>469</v>
      </c>
      <c r="C32" s="50" t="s">
        <v>470</v>
      </c>
      <c r="D32" s="63" t="s">
        <v>440</v>
      </c>
      <c r="E32" s="159"/>
      <c r="F32" s="159"/>
      <c r="G32" s="159"/>
      <c r="H32" s="159"/>
      <c r="I32" s="159"/>
      <c r="J32" s="159"/>
      <c r="K32" s="159"/>
      <c r="L32" s="159"/>
      <c r="M32" s="159"/>
      <c r="N32" s="159"/>
      <c r="O32" s="157">
        <f>SUM(E32:N32)</f>
        <v>0</v>
      </c>
      <c r="P32" s="44"/>
      <c r="Q32" s="69"/>
      <c r="R32" s="69"/>
      <c r="S32" s="69"/>
      <c r="T32" s="69"/>
      <c r="U32" s="69"/>
      <c r="V32" s="69"/>
      <c r="W32" s="69"/>
      <c r="X32" s="69"/>
      <c r="Y32" s="69"/>
      <c r="Z32" s="69"/>
      <c r="AA32" s="69"/>
      <c r="AB32" s="69"/>
      <c r="AC32" s="69"/>
      <c r="AD32" s="258"/>
      <c r="AE32" s="258"/>
      <c r="AF32" s="259"/>
      <c r="AG32" s="260"/>
      <c r="AH32" s="260"/>
      <c r="AI32" s="260"/>
      <c r="AJ32" s="260"/>
      <c r="AK32" s="260"/>
    </row>
    <row r="33" spans="1:37" ht="32.25" customHeight="1" thickBot="1" x14ac:dyDescent="0.3">
      <c r="A33" s="64" t="s">
        <v>465</v>
      </c>
      <c r="B33" s="63" t="s">
        <v>466</v>
      </c>
      <c r="C33" s="50" t="s">
        <v>467</v>
      </c>
      <c r="D33" s="63" t="s">
        <v>440</v>
      </c>
      <c r="E33" s="159"/>
      <c r="F33" s="159"/>
      <c r="G33" s="159"/>
      <c r="H33" s="159"/>
      <c r="I33" s="159"/>
      <c r="J33" s="159"/>
      <c r="K33" s="159"/>
      <c r="L33" s="159"/>
      <c r="M33" s="159"/>
      <c r="N33" s="159"/>
      <c r="O33" s="157">
        <f t="shared" si="3"/>
        <v>0</v>
      </c>
      <c r="P33" s="44"/>
      <c r="Q33" s="69"/>
      <c r="R33" s="69"/>
      <c r="S33" s="69"/>
      <c r="T33" s="69"/>
      <c r="U33" s="69"/>
      <c r="V33" s="69"/>
      <c r="W33" s="69"/>
      <c r="X33" s="69"/>
      <c r="Y33" s="69"/>
      <c r="Z33" s="69"/>
      <c r="AA33" s="69"/>
      <c r="AB33" s="69"/>
      <c r="AC33" s="69"/>
      <c r="AD33" s="258"/>
      <c r="AE33" s="258"/>
      <c r="AF33" s="259"/>
      <c r="AG33" s="260"/>
      <c r="AH33" s="260"/>
      <c r="AI33" s="260"/>
      <c r="AJ33" s="260"/>
      <c r="AK33" s="260"/>
    </row>
    <row r="34" spans="1:37" ht="38.25" customHeight="1" thickBot="1" x14ac:dyDescent="0.3">
      <c r="A34" s="64" t="s">
        <v>471</v>
      </c>
      <c r="B34" s="63" t="s">
        <v>472</v>
      </c>
      <c r="C34" s="50" t="s">
        <v>473</v>
      </c>
      <c r="D34" s="63" t="s">
        <v>474</v>
      </c>
      <c r="E34" s="157">
        <f t="shared" ref="E34:N34" si="5">E28*E31</f>
        <v>0</v>
      </c>
      <c r="F34" s="157">
        <f t="shared" si="5"/>
        <v>0</v>
      </c>
      <c r="G34" s="157">
        <f t="shared" si="5"/>
        <v>0</v>
      </c>
      <c r="H34" s="157">
        <f t="shared" si="5"/>
        <v>0</v>
      </c>
      <c r="I34" s="157">
        <f t="shared" si="5"/>
        <v>0</v>
      </c>
      <c r="J34" s="157">
        <f t="shared" si="5"/>
        <v>0</v>
      </c>
      <c r="K34" s="157">
        <f t="shared" si="5"/>
        <v>0</v>
      </c>
      <c r="L34" s="157">
        <f t="shared" si="5"/>
        <v>0</v>
      </c>
      <c r="M34" s="157">
        <f t="shared" si="5"/>
        <v>0</v>
      </c>
      <c r="N34" s="157">
        <f t="shared" si="5"/>
        <v>0</v>
      </c>
      <c r="O34" s="157">
        <f t="shared" si="3"/>
        <v>0</v>
      </c>
      <c r="P34" s="44"/>
      <c r="Q34" s="94">
        <f>'Proj Conversion Factors EII'!D118</f>
        <v>0.108</v>
      </c>
      <c r="R34" s="157">
        <f t="shared" ref="R34:AA34" si="6">E34*$Q$34/1000</f>
        <v>0</v>
      </c>
      <c r="S34" s="157">
        <f t="shared" si="6"/>
        <v>0</v>
      </c>
      <c r="T34" s="157">
        <f t="shared" si="6"/>
        <v>0</v>
      </c>
      <c r="U34" s="157">
        <f t="shared" si="6"/>
        <v>0</v>
      </c>
      <c r="V34" s="157">
        <f t="shared" si="6"/>
        <v>0</v>
      </c>
      <c r="W34" s="157">
        <f t="shared" si="6"/>
        <v>0</v>
      </c>
      <c r="X34" s="157">
        <f t="shared" si="6"/>
        <v>0</v>
      </c>
      <c r="Y34" s="157">
        <f t="shared" si="6"/>
        <v>0</v>
      </c>
      <c r="Z34" s="157">
        <f t="shared" si="6"/>
        <v>0</v>
      </c>
      <c r="AA34" s="157">
        <f t="shared" si="6"/>
        <v>0</v>
      </c>
      <c r="AB34" s="156">
        <f t="shared" ref="AB34:AB36" si="7">SUM(R34:AA34)</f>
        <v>0</v>
      </c>
      <c r="AC34" s="262"/>
      <c r="AD34" s="69"/>
      <c r="AE34" s="69"/>
      <c r="AF34" s="69"/>
      <c r="AG34" s="69"/>
      <c r="AH34" s="69"/>
      <c r="AI34" s="69"/>
      <c r="AJ34" s="69"/>
      <c r="AK34" s="69"/>
    </row>
    <row r="35" spans="1:37" ht="38.25" customHeight="1" thickBot="1" x14ac:dyDescent="0.3">
      <c r="A35" s="64" t="s">
        <v>476</v>
      </c>
      <c r="B35" s="63" t="s">
        <v>472</v>
      </c>
      <c r="C35" s="50" t="s">
        <v>473</v>
      </c>
      <c r="D35" s="63" t="s">
        <v>474</v>
      </c>
      <c r="E35" s="157">
        <f t="shared" ref="E35:N35" si="8">E30*E32</f>
        <v>0</v>
      </c>
      <c r="F35" s="157">
        <f t="shared" si="8"/>
        <v>0</v>
      </c>
      <c r="G35" s="157">
        <f t="shared" si="8"/>
        <v>0</v>
      </c>
      <c r="H35" s="157">
        <f t="shared" si="8"/>
        <v>0</v>
      </c>
      <c r="I35" s="157">
        <f t="shared" si="8"/>
        <v>0</v>
      </c>
      <c r="J35" s="157">
        <f t="shared" si="8"/>
        <v>0</v>
      </c>
      <c r="K35" s="157">
        <f t="shared" si="8"/>
        <v>0</v>
      </c>
      <c r="L35" s="157">
        <f t="shared" si="8"/>
        <v>0</v>
      </c>
      <c r="M35" s="157">
        <f t="shared" si="8"/>
        <v>0</v>
      </c>
      <c r="N35" s="157">
        <f t="shared" si="8"/>
        <v>0</v>
      </c>
      <c r="O35" s="157">
        <f>SUM(E35:N35)</f>
        <v>0</v>
      </c>
      <c r="P35" s="44"/>
      <c r="Q35" s="94">
        <f>'Proj Conversion Factors EII'!D119</f>
        <v>6.5000000000000002E-2</v>
      </c>
      <c r="R35" s="157">
        <f t="shared" ref="R35:AA35" si="9">E35*$Q$35/1000</f>
        <v>0</v>
      </c>
      <c r="S35" s="157">
        <f t="shared" si="9"/>
        <v>0</v>
      </c>
      <c r="T35" s="157">
        <f t="shared" si="9"/>
        <v>0</v>
      </c>
      <c r="U35" s="157">
        <f t="shared" si="9"/>
        <v>0</v>
      </c>
      <c r="V35" s="157">
        <f t="shared" si="9"/>
        <v>0</v>
      </c>
      <c r="W35" s="157">
        <f t="shared" si="9"/>
        <v>0</v>
      </c>
      <c r="X35" s="157">
        <f t="shared" si="9"/>
        <v>0</v>
      </c>
      <c r="Y35" s="157">
        <f t="shared" si="9"/>
        <v>0</v>
      </c>
      <c r="Z35" s="157">
        <f t="shared" si="9"/>
        <v>0</v>
      </c>
      <c r="AA35" s="157">
        <f t="shared" si="9"/>
        <v>0</v>
      </c>
      <c r="AB35" s="156">
        <f>SUM(R35:AA35)</f>
        <v>0</v>
      </c>
      <c r="AC35" s="262"/>
      <c r="AD35" s="69"/>
      <c r="AE35" s="69"/>
      <c r="AF35" s="69"/>
      <c r="AG35" s="69"/>
      <c r="AH35" s="69"/>
      <c r="AI35" s="69"/>
      <c r="AJ35" s="69"/>
      <c r="AK35" s="69"/>
    </row>
    <row r="36" spans="1:37" ht="38.25" customHeight="1" thickBot="1" x14ac:dyDescent="0.3">
      <c r="A36" s="64" t="s">
        <v>475</v>
      </c>
      <c r="B36" s="63" t="s">
        <v>472</v>
      </c>
      <c r="C36" s="50" t="s">
        <v>473</v>
      </c>
      <c r="D36" s="63" t="s">
        <v>474</v>
      </c>
      <c r="E36" s="157">
        <f t="shared" ref="E36:N36" si="10">E29*E33</f>
        <v>0</v>
      </c>
      <c r="F36" s="157">
        <f t="shared" si="10"/>
        <v>0</v>
      </c>
      <c r="G36" s="157">
        <f t="shared" si="10"/>
        <v>0</v>
      </c>
      <c r="H36" s="157">
        <f t="shared" si="10"/>
        <v>0</v>
      </c>
      <c r="I36" s="157">
        <f t="shared" si="10"/>
        <v>0</v>
      </c>
      <c r="J36" s="157">
        <f t="shared" si="10"/>
        <v>0</v>
      </c>
      <c r="K36" s="157">
        <f t="shared" si="10"/>
        <v>0</v>
      </c>
      <c r="L36" s="157">
        <f t="shared" si="10"/>
        <v>0</v>
      </c>
      <c r="M36" s="157">
        <f t="shared" si="10"/>
        <v>0</v>
      </c>
      <c r="N36" s="157">
        <f t="shared" si="10"/>
        <v>0</v>
      </c>
      <c r="O36" s="157">
        <f t="shared" si="3"/>
        <v>0</v>
      </c>
      <c r="P36" s="44"/>
      <c r="Q36" s="94">
        <f>'Proj Conversion Factors EII'!D120</f>
        <v>0.03</v>
      </c>
      <c r="R36" s="157">
        <f t="shared" ref="R36:AA36" si="11">E36*$Q$36/1000</f>
        <v>0</v>
      </c>
      <c r="S36" s="157">
        <f t="shared" si="11"/>
        <v>0</v>
      </c>
      <c r="T36" s="157">
        <f t="shared" si="11"/>
        <v>0</v>
      </c>
      <c r="U36" s="157">
        <f t="shared" si="11"/>
        <v>0</v>
      </c>
      <c r="V36" s="157">
        <f t="shared" si="11"/>
        <v>0</v>
      </c>
      <c r="W36" s="157">
        <f t="shared" si="11"/>
        <v>0</v>
      </c>
      <c r="X36" s="157">
        <f t="shared" si="11"/>
        <v>0</v>
      </c>
      <c r="Y36" s="157">
        <f t="shared" si="11"/>
        <v>0</v>
      </c>
      <c r="Z36" s="157">
        <f t="shared" si="11"/>
        <v>0</v>
      </c>
      <c r="AA36" s="157">
        <f t="shared" si="11"/>
        <v>0</v>
      </c>
      <c r="AB36" s="156">
        <f t="shared" si="7"/>
        <v>0</v>
      </c>
      <c r="AC36" s="262"/>
      <c r="AD36" s="69"/>
      <c r="AE36" s="69"/>
      <c r="AF36" s="69"/>
      <c r="AG36" s="69"/>
      <c r="AH36" s="69"/>
      <c r="AI36" s="69"/>
      <c r="AJ36" s="69"/>
      <c r="AK36" s="69"/>
    </row>
  </sheetData>
  <mergeCells count="3">
    <mergeCell ref="A18:P18"/>
    <mergeCell ref="Q18:AC18"/>
    <mergeCell ref="AD18:AK18"/>
  </mergeCells>
  <conditionalFormatting sqref="D14">
    <cfRule type="cellIs" dxfId="1" priority="1" operator="equal">
      <formula>"ERR"</formula>
    </cfRule>
    <cfRule type="cellIs" dxfId="0" priority="2" operator="equal">
      <formula>"OK"</formula>
    </cfRule>
  </conditionalFormatting>
  <dataValidations count="3">
    <dataValidation type="list" allowBlank="1" showInputMessage="1" showErrorMessage="1" sqref="AF23:AF33" xr:uid="{8E84BC0D-091D-40C7-A5ED-F8A8A15133F8}">
      <formula1>"Primary Data,Third Party Data,Secondary Data - Calculated based on actual data,Secondary Data - Based on assumptions,Secondary Data - Extrapolation,Other evidence"</formula1>
    </dataValidation>
    <dataValidation type="list" allowBlank="1" showInputMessage="1" showErrorMessage="1" sqref="AE23:AE33" xr:uid="{DA05E73B-B75D-48F9-BC84-87E02D28AFCC}">
      <formula1>"Taken from data management platform,Internal control spreadsheet,Direct measurement,Estimated,Adoption of assumptions (please describe),Extrapolation (please describe),Sample (please describe),Other"</formula1>
    </dataValidation>
    <dataValidation type="list" allowBlank="1" showInputMessage="1" showErrorMessage="1" sqref="AD23:AD33" xr:uid="{592FFC14-9E33-4489-8A03-C71C5F5ADD1D}">
      <formula1>"To be monitored,Not monitored"</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dimension ref="A1:C12"/>
  <sheetViews>
    <sheetView zoomScaleNormal="100" workbookViewId="0">
      <selection sqref="A1:C1"/>
    </sheetView>
  </sheetViews>
  <sheetFormatPr defaultColWidth="8.85546875" defaultRowHeight="15" x14ac:dyDescent="0.25"/>
  <cols>
    <col min="1" max="1" width="13.85546875" customWidth="1"/>
    <col min="2" max="2" width="11.85546875" customWidth="1"/>
    <col min="3" max="3" width="100.42578125" customWidth="1"/>
  </cols>
  <sheetData>
    <row r="1" spans="1:3" x14ac:dyDescent="0.25">
      <c r="A1" s="299" t="s">
        <v>486</v>
      </c>
      <c r="B1" s="299"/>
      <c r="C1" s="299"/>
    </row>
    <row r="2" spans="1:3" ht="24" x14ac:dyDescent="0.25">
      <c r="A2" s="204" t="s">
        <v>414</v>
      </c>
      <c r="B2" s="204" t="s">
        <v>487</v>
      </c>
      <c r="C2" s="204" t="s">
        <v>488</v>
      </c>
    </row>
    <row r="3" spans="1:3" x14ac:dyDescent="0.25">
      <c r="A3" s="205" t="s">
        <v>489</v>
      </c>
      <c r="B3" s="206" t="s">
        <v>490</v>
      </c>
      <c r="C3" s="207" t="s">
        <v>491</v>
      </c>
    </row>
    <row r="4" spans="1:3" ht="24" x14ac:dyDescent="0.25">
      <c r="A4" s="208" t="s">
        <v>492</v>
      </c>
      <c r="B4" s="209" t="s">
        <v>493</v>
      </c>
      <c r="C4" s="210" t="s">
        <v>494</v>
      </c>
    </row>
    <row r="5" spans="1:3" x14ac:dyDescent="0.25">
      <c r="A5" s="205" t="s">
        <v>495</v>
      </c>
      <c r="B5" s="205" t="s">
        <v>496</v>
      </c>
      <c r="C5" s="214" t="s">
        <v>497</v>
      </c>
    </row>
    <row r="6" spans="1:3" ht="24" x14ac:dyDescent="0.25">
      <c r="A6" s="205" t="s">
        <v>498</v>
      </c>
      <c r="B6" s="205" t="s">
        <v>499</v>
      </c>
      <c r="C6" s="211" t="s">
        <v>500</v>
      </c>
    </row>
    <row r="7" spans="1:3" ht="96" x14ac:dyDescent="0.25">
      <c r="A7" s="205" t="s">
        <v>501</v>
      </c>
      <c r="B7" s="205" t="s">
        <v>502</v>
      </c>
      <c r="C7" s="211" t="s">
        <v>503</v>
      </c>
    </row>
    <row r="8" spans="1:3" x14ac:dyDescent="0.25">
      <c r="A8" s="205" t="s">
        <v>504</v>
      </c>
      <c r="B8" s="205" t="s">
        <v>506</v>
      </c>
      <c r="C8" s="211" t="s">
        <v>505</v>
      </c>
    </row>
    <row r="9" spans="1:3" ht="24" x14ac:dyDescent="0.25">
      <c r="A9" s="205" t="s">
        <v>512</v>
      </c>
      <c r="B9" s="205" t="s">
        <v>513</v>
      </c>
      <c r="C9" s="212" t="s">
        <v>514</v>
      </c>
    </row>
    <row r="10" spans="1:3" ht="96" x14ac:dyDescent="0.25">
      <c r="A10" s="205" t="s">
        <v>540</v>
      </c>
      <c r="B10" s="205" t="s">
        <v>612</v>
      </c>
      <c r="C10" s="212" t="s">
        <v>577</v>
      </c>
    </row>
    <row r="11" spans="1:3" ht="48" x14ac:dyDescent="0.25">
      <c r="A11" s="205" t="s">
        <v>619</v>
      </c>
      <c r="B11" s="213" t="s">
        <v>623</v>
      </c>
      <c r="C11" s="212" t="s">
        <v>621</v>
      </c>
    </row>
    <row r="12" spans="1:3" ht="132" x14ac:dyDescent="0.25">
      <c r="A12" s="205" t="s">
        <v>624</v>
      </c>
      <c r="B12" s="213" t="s">
        <v>625</v>
      </c>
      <c r="C12" s="212" t="s">
        <v>715</v>
      </c>
    </row>
  </sheetData>
  <mergeCells count="1">
    <mergeCell ref="A1:C1"/>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rder1 xmlns="1e866f1f-0b21-41dc-b9cb-81167115ab19">5</Order1>
    <DocComments xmlns="1e866f1f-0b21-41dc-b9cb-81167115ab19">Application Form Annex to be available in SEP.</DocComments>
    <DocInternalExternal xmlns="1e866f1f-0b21-41dc-b9cb-81167115ab19">Internal &amp; external</DocInternalExternal>
    <ProgrCategory xmlns="1e866f1f-0b21-41dc-b9cb-81167115ab19">3. Customised reports &amp; forms</ProgrCategory>
    <ProgrGroup xmlns="1e866f1f-0b21-41dc-b9cb-81167115ab19">10 INNOVFUND</ProgrGroup>
    <DocStatus xmlns="1e866f1f-0b21-41dc-b9cb-81167115ab19">Ready</DocStatus>
    <DocPublProtocol xmlns="1e866f1f-0b21-41dc-b9cb-81167115ab19">TPL2-2 Programme tpl - Application forms, etc</DocPublProtocol>
    <ITcomments xmlns="1e866f1f-0b21-41dc-b9cb-81167115ab19" xsi:nil="true"/>
    <ITstatus xmlns="1e866f1f-0b21-41dc-b9cb-81167115ab1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EC Document" ma:contentTypeID="0x010100A8C0FE432B00E948BF17A18F874DA90A00D7277BFB522B774B92A9E609239131CC" ma:contentTypeVersion="34" ma:contentTypeDescription="Create a new document in this library." ma:contentTypeScope="" ma:versionID="525f3bff120465d4aa62b42d9eddd507">
  <xsd:schema xmlns:xsd="http://www.w3.org/2001/XMLSchema" xmlns:xs="http://www.w3.org/2001/XMLSchema" xmlns:p="http://schemas.microsoft.com/office/2006/metadata/properties" xmlns:ns2="1e866f1f-0b21-41dc-b9cb-81167115ab19" xmlns:ns4="c1c27a6f-3295-4d53-88f7-dc2956bf7014" targetNamespace="http://schemas.microsoft.com/office/2006/metadata/properties" ma:root="true" ma:fieldsID="50f160a0a39c89ba6c8bb7589d8065eb" ns2:_="" ns4:_="">
    <xsd:import namespace="1e866f1f-0b21-41dc-b9cb-81167115ab19"/>
    <xsd:import namespace="c1c27a6f-3295-4d53-88f7-dc2956bf7014"/>
    <xsd:element name="properties">
      <xsd:complexType>
        <xsd:sequence>
          <xsd:element name="documentManagement">
            <xsd:complexType>
              <xsd:all>
                <xsd:element ref="ns2:ProgrGroup" minOccurs="0"/>
                <xsd:element ref="ns2:ProgrCategory" minOccurs="0"/>
                <xsd:element ref="ns2:Order1" minOccurs="0"/>
                <xsd:element ref="ns2:DocComments" minOccurs="0"/>
                <xsd:element ref="ns2:DocStatus" minOccurs="0"/>
                <xsd:element ref="ns2:DocPublProtocol" minOccurs="0"/>
                <xsd:element ref="ns2:DocInternalExternal" minOccurs="0"/>
                <xsd:element ref="ns2:ITcomments" minOccurs="0"/>
                <xsd:element ref="ns2:ITstatus" minOccurs="0"/>
                <xsd:element ref="ns2:SharedWithUsers" minOccurs="0"/>
                <xsd:element ref="ns2:SharedWithDetails" minOccurs="0"/>
                <xsd:element ref="ns4:MediaServiceMetadata" minOccurs="0"/>
                <xsd:element ref="ns4:MediaServiceFastMetadata" minOccurs="0"/>
                <xsd:element ref="ns4:MediaServiceSearchProperties"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866f1f-0b21-41dc-b9cb-81167115ab19" elementFormDefault="qualified">
    <xsd:import namespace="http://schemas.microsoft.com/office/2006/documentManagement/types"/>
    <xsd:import namespace="http://schemas.microsoft.com/office/infopath/2007/PartnerControls"/>
    <xsd:element name="ProgrGroup" ma:index="1" nillable="true" ma:displayName="Programme Docs Group" ma:description="Needed for MGAs &amp; Programme Documents (MFF 2021-2027)" ma:format="Dropdown" ma:indexed="true" ma:internalName="ProgrGroup" ma:readOnly="false">
      <xsd:simpleType>
        <xsd:union memberTypes="dms:Text">
          <xsd:simpleType>
            <xsd:restriction base="dms:Choice">
              <xsd:enumeration value="00 CORPORATE MASTERFILES"/>
              <xsd:enumeration value="00 HEALTHCHECKS"/>
              <xsd:enumeration value="01 HORIZON and EURATOM"/>
              <xsd:enumeration value="02 RFCS"/>
              <xsd:enumeration value="03 DIGITAL EUROPE (DEP)"/>
              <xsd:enumeration value="04 DEFENCE (EDF, ASAP and EDIRPA)"/>
              <xsd:enumeration value="05 SPACE"/>
              <xsd:enumeration value="06 CEF"/>
              <xsd:enumeration value="07 I3"/>
              <xsd:enumeration value="07a ERDF-TA"/>
              <xsd:enumeration value="08 IMREG"/>
              <xsd:enumeration value="09 LIFE"/>
              <xsd:enumeration value="10 INNOVFUND"/>
              <xsd:enumeration value="11 RENEWFM"/>
              <xsd:enumeration value="11a JTM"/>
              <xsd:enumeration value="12 EMFAF"/>
              <xsd:enumeration value="13 AGRIP"/>
              <xsd:enumeration value="14 IMCAP"/>
              <xsd:enumeration value="15 SINGLE MARKET (SMP)"/>
              <xsd:enumeration value="15a BUSINESS CONSUMER SURVEYS (BCS)"/>
              <xsd:enumeration value="16 ERASMUS"/>
              <xsd:enumeration value="17 CREATIVE EUROPE"/>
              <xsd:enumeration value="18 EUROPEAN SOLIDARITY CORPS (ESC)"/>
              <xsd:enumeration value="19 CERV"/>
              <xsd:enumeration value="20 JUSTICE"/>
              <xsd:enumeration value="21 ESF and SOCPL"/>
              <xsd:enumeration value="22 EU4HEALTH"/>
              <xsd:enumeration value="23 AMIF, ISF and BMVI"/>
              <xsd:enumeration value="24 EU ANTI-FRAUD"/>
              <xsd:enumeration value="25 CUSTOMS and FISCALIS"/>
              <xsd:enumeration value="26 CCEI"/>
              <xsd:enumeration value="27 PERICLES"/>
              <xsd:enumeration value="28 TECHNICAL SUPPORT (TSI)"/>
              <xsd:enumeration value="29 UCPM"/>
              <xsd:enumeration value="30 HUMANITARIAN AID"/>
              <xsd:enumeration value="31 RELEX"/>
              <xsd:enumeration value="40 PPPA"/>
              <xsd:enumeration value="41 EUROPE DIRECT"/>
              <xsd:enumeration value="41 EUAA"/>
              <xsd:enumeration value="41 EUROPOL"/>
            </xsd:restriction>
          </xsd:simpleType>
        </xsd:union>
      </xsd:simpleType>
    </xsd:element>
    <xsd:element name="ProgrCategory" ma:index="2" nillable="true" ma:displayName="Programme Docs Category" ma:description="Needed for MGAs &amp; Programme Documents (MFF 2021-2027)" ma:format="Dropdown" ma:internalName="ProgrCategory" ma:readOnly="false">
      <xsd:simpleType>
        <xsd:union memberTypes="dms:Text">
          <xsd:simpleType>
            <xsd:restriction base="dms:Choice">
              <xsd:enumeration value="1. MGAs"/>
              <xsd:enumeration value="2. Programme guidance"/>
              <xsd:enumeration value="3. Customised reports &amp; forms"/>
              <xsd:enumeration value="5. Other"/>
              <xsd:enumeration value="6. xxx PUBLICATION FOLDERS"/>
              <xsd:enumeration value="7. xxxx DISCARDED DOCUMENTS"/>
              <xsd:enumeration value="7. xxxx DONE DOCUMENTS"/>
              <xsd:enumeration value="7. xxxx ORIGINAL DOCUMENTS"/>
              <xsd:enumeration value="1. PART C HEALTHCHECK"/>
              <xsd:enumeration value="2. MGA Annexes"/>
              <xsd:enumeration value="3. Customised reports &amp; forms (HE application forms)"/>
              <xsd:enumeration value="3. Customised reports &amp; forms (HE evaluation forms)"/>
              <xsd:enumeration value="3. Customised reports &amp; forms (HE application forms 2026-2027)"/>
              <xsd:enumeration value="3. Customised reports &amp; forms (HE evaluation forms 2026-2027)"/>
              <xsd:enumeration value="3. Customised reports &amp; forms (ASAP)"/>
              <xsd:enumeration value="3. Customised reports &amp; forms (EDIRPA)"/>
              <xsd:enumeration value="3. Customised reports &amp; forms (aCEF-T)"/>
              <xsd:enumeration value="3. Customised reports &amp; forms (bCEF-E)"/>
              <xsd:enumeration value="3. Customised reports &amp; forms (cCEF-DIG)"/>
              <xsd:enumeration value="3. Customised reports &amp; forms (INNOVFUND AUCTIONS)"/>
              <xsd:enumeration value="3. Customised reports &amp; forms (SMP COSME)"/>
              <xsd:enumeration value="3. Customised reports &amp; forms (SMP CONS)"/>
              <xsd:enumeration value="3. Customised reports &amp; forms (SMP COMP)"/>
              <xsd:enumeration value="3. Customised reports &amp; forms (SMP FOOD)"/>
              <xsd:enumeration value="3. Customised reports &amp; forms (SMP STAND)"/>
              <xsd:enumeration value="3. Customised reports &amp; forms (SMP ESS)"/>
              <xsd:enumeration value="3. Customised reports &amp; forms (SMP SURV)"/>
              <xsd:enumeration value="3. Customised reports &amp; forms (ERASMUS JMO Schools Info Package)"/>
              <xsd:enumeration value="3. Customised reports &amp; forms (ECHE Certificate)"/>
              <xsd:enumeration value="3. Customised reports &amp; forms (ESC HUMAID Quality Label)"/>
              <xsd:enumeration value="3. Customised reports &amp; forms (ECHO Partnership Certificate)"/>
              <xsd:enumeration value="3. Customised reports &amp; forms (RELEX TWINNING)"/>
              <xsd:enumeration value="3. Customised reports &amp; forms (RELEX MOBAF)"/>
              <xsd:enumeration value="3. Customised reports &amp; forms (PPPA EACEA)"/>
            </xsd:restriction>
          </xsd:simpleType>
        </xsd:union>
      </xsd:simpleType>
    </xsd:element>
    <xsd:element name="Order1" ma:index="3" nillable="true" ma:displayName="Order" ma:indexed="true" ma:internalName="Order1" ma:readOnly="false" ma:percentage="FALSE">
      <xsd:simpleType>
        <xsd:restriction base="dms:Number"/>
      </xsd:simpleType>
    </xsd:element>
    <xsd:element name="DocComments" ma:index="4" nillable="true" ma:displayName="Doc Comments" ma:description="Needed for all Pages" ma:internalName="DocComments" ma:readOnly="false">
      <xsd:simpleType>
        <xsd:restriction base="dms:Note"/>
      </xsd:simpleType>
    </xsd:element>
    <xsd:element name="DocStatus" ma:index="5" nillable="true" ma:displayName="Doc Status" ma:description="Needed for all except GoFund Archive" ma:format="Dropdown" ma:internalName="DocStatus" ma:readOnly="false">
      <xsd:simpleType>
        <xsd:union memberTypes="dms:Text">
          <xsd:simpleType>
            <xsd:restriction base="dms:Choice">
              <xsd:enumeration value="͏New"/>
              <xsd:enumeration value="New version"/>
              <xsd:enumeration value="Under validation"/>
              <xsd:enumeration value="Ready"/>
              <xsd:enumeration value="Ready for publication"/>
              <xsd:enumeration value="Published"/>
              <xsd:enumeration value="Wait"/>
              <xsd:enumeration value="n/a (backoffice document)"/>
              <xsd:enumeration value="old document"/>
            </xsd:restriction>
          </xsd:simpleType>
        </xsd:union>
      </xsd:simpleType>
    </xsd:element>
    <xsd:element name="DocPublProtocol" ma:index="6" nillable="true" ma:displayName="Doc Publ. Protocol" ma:description="Needed for MGAs &amp; Programme Documents and Business Documents Management View" ma:format="Dropdown" ma:internalName="DocPublProtocol" ma:readOnly="false">
      <xsd:simpleType>
        <xsd:union memberTypes="dms:Text">
          <xsd:simpleType>
            <xsd:restriction base="dms:Choice">
              <xsd:enumeration value="MGA2-1 MGAs"/>
              <xsd:enumeration value="CONTR1-1 Expert contracts"/>
              <xsd:enumeration value="GUID1-1 Business - External guidance"/>
              <xsd:enumeration value="GUID1-2 Business - Internal guidance"/>
              <xsd:enumeration value="GUID2-1 Programme tpl - External guidance"/>
              <xsd:enumeration value="GUID2-2 Programme tpl - Internal guidance"/>
              <xsd:enumeration value="TPL1-1 Business - Decisions"/>
              <xsd:enumeration value="TPL1-2 Business - Reports"/>
              <xsd:enumeration value="TPL1-3 Business - Letters"/>
              <xsd:enumeration value="TPL1-4 Business - Special (Portal)"/>
              <xsd:enumeration value="TPL1-5 Business - Special (GoFund)"/>
              <xsd:enumeration value="TPL2-1 Programme tpl - Call documents"/>
              <xsd:enumeration value="TPL2-2 Programme tpl - Application forms, etc"/>
              <xsd:enumeration value="TPL2-3 Programme tpl - Evaluation forms, etc"/>
              <xsd:enumeration value="TPL2-4 Programme tpl - DoAs"/>
              <xsd:enumeration value="TPL2-5 Programme tpl - Reporting forms, etc"/>
              <xsd:enumeration value="TPL2-6 Programme tpl - Audit templates"/>
              <xsd:enumeration value="TPL2-7 Programme tpl - Other"/>
              <xsd:enumeration value="Portal1-1 Terms &amp; Conditions"/>
              <xsd:enumeration value="Portal1-2 Privacy Statement"/>
              <xsd:enumeration value="Portal1-3 Glossary"/>
              <xsd:enumeration value="Portal1-4 Lists of expert names"/>
            </xsd:restriction>
          </xsd:simpleType>
        </xsd:union>
      </xsd:simpleType>
    </xsd:element>
    <xsd:element name="DocInternalExternal" ma:index="7" nillable="true" ma:displayName="Doc Internal/External" ma:description="Needed for MGAs &amp; Programme Documents and Business Documentation Management View" ma:format="Dropdown" ma:internalName="DocInternalExternal" ma:readOnly="false">
      <xsd:simpleType>
        <xsd:union memberTypes="dms:Text">
          <xsd:simpleType>
            <xsd:restriction base="dms:Choice">
              <xsd:enumeration value="Internal"/>
              <xsd:enumeration value="External"/>
              <xsd:enumeration value="Internal &amp; external"/>
            </xsd:restriction>
          </xsd:simpleType>
        </xsd:union>
      </xsd:simpleType>
    </xsd:element>
    <xsd:element name="ITcomments" ma:index="8" nillable="true" ma:displayName="IT Comments" ma:description="Needed for MGAs &amp; Programme Documents and Business Documents Normal View" ma:internalName="ITcomments" ma:readOnly="false">
      <xsd:simpleType>
        <xsd:restriction base="dms:Note">
          <xsd:maxLength value="255"/>
        </xsd:restriction>
      </xsd:simpleType>
    </xsd:element>
    <xsd:element name="ITstatus" ma:index="9" nillable="true" ma:displayName="IT Status" ma:description="Needed for MGAs &amp; Programme Documents and Business Documents Normal View" ma:format="Dropdown" ma:internalName="ITstatus" ma:readOnly="false">
      <xsd:simpleType>
        <xsd:union memberTypes="dms:Text">
          <xsd:simpleType>
            <xsd:restriction base="dms:Choice">
              <xsd:enumeration value="͏Wait"/>
              <xsd:enumeration value="Ready for IT"/>
              <xsd:enumeration value="IT implementation started"/>
              <xsd:enumeration value="IT implementation finished"/>
              <xsd:enumeration value="New version ready for IT"/>
              <xsd:enumeration value="n/a (no IT implementation)"/>
            </xsd:restriction>
          </xsd:simpleType>
        </xsd:union>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c27a6f-3295-4d53-88f7-dc2956bf7014"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7" ma:displayName="Author"/>
        <xsd:element ref="dcterms:created" minOccurs="0" maxOccurs="1"/>
        <xsd:element ref="dc:identifier" minOccurs="0" maxOccurs="1"/>
        <xsd:element name="contentType" minOccurs="0" maxOccurs="1" type="xsd:string" ma:index="16"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433302-0161-4911-8177-03752E851A4E}">
  <ds:schemaRefs>
    <ds:schemaRef ds:uri="http://schemas.openxmlformats.org/package/2006/metadata/core-properties"/>
    <ds:schemaRef ds:uri="1e866f1f-0b21-41dc-b9cb-81167115ab19"/>
    <ds:schemaRef ds:uri="http://schemas.microsoft.com/office/2006/documentManagement/types"/>
    <ds:schemaRef ds:uri="http://purl.org/dc/elements/1.1/"/>
    <ds:schemaRef ds:uri="c1c27a6f-3295-4d53-88f7-dc2956bf7014"/>
    <ds:schemaRef ds:uri="http://schemas.microsoft.com/office/infopath/2007/PartnerControls"/>
    <ds:schemaRef ds:uri="http://www.w3.org/XML/1998/namespace"/>
    <ds:schemaRef ds:uri="http://purl.org/dc/dcmitype/"/>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0C5F9E13-7766-4B58-9674-FFB3B12F4920}">
  <ds:schemaRefs>
    <ds:schemaRef ds:uri="http://schemas.microsoft.com/sharepoint/v3/contenttype/forms"/>
  </ds:schemaRefs>
</ds:datastoreItem>
</file>

<file path=customXml/itemProps3.xml><?xml version="1.0" encoding="utf-8"?>
<ds:datastoreItem xmlns:ds="http://schemas.openxmlformats.org/officeDocument/2006/customXml" ds:itemID="{8B441DAA-07DC-4CC4-9794-495514CBF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866f1f-0b21-41dc-b9cb-81167115ab19"/>
    <ds:schemaRef ds:uri="c1c27a6f-3295-4d53-88f7-dc2956bf70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 EII</vt:lpstr>
      <vt:lpstr>Lists</vt:lpstr>
      <vt:lpstr>Summary</vt:lpstr>
      <vt:lpstr>Summary per year</vt:lpstr>
      <vt:lpstr>Process Diagram</vt:lpstr>
      <vt:lpstr>Reference emissions EII</vt:lpstr>
      <vt:lpstr>Project emissions EII</vt:lpstr>
      <vt:lpstr>Ref Conversion Factors EII</vt:lpstr>
      <vt:lpstr>Proj Conversion Factors EII</vt:lpstr>
      <vt:lpstr>Assumptions</vt:lpstr>
      <vt:lpstr>CC credit overview</vt:lpstr>
      <vt:lpstr>CC credit calculation</vt:lpstr>
      <vt:lpstr>History of 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2021-03-19T16:20:52Z</dcterms:created>
  <dcterms:modified xsi:type="dcterms:W3CDTF">2025-11-20T11:15:20Z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0x010100A8C0FE432B00E948BF17A18F874DA90A00D7277BFB522B774B92A9E609239131CC</vt:lpwstr>
  </property>
  <property fmtid="{D5CDD505-2E9C-101B-9397-08002B2CF9AE}" pid="3" name="MSIP_Label_6bd9ddd1-4d20-43f6-abfa-fc3c07406f94_Enabled">
    <vt:lpwstr>true</vt:lpwstr>
  </property>
  <property fmtid="{D5CDD505-2E9C-101B-9397-08002B2CF9AE}" pid="4" name="MSIP_Label_6bd9ddd1-4d20-43f6-abfa-fc3c07406f94_SetDate">
    <vt:lpwstr>2022-03-30T08:52:53Z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c7d2698e-34fa-4ebb-88b1-d608e2c141f1</vt:lpwstr>
  </property>
  <property fmtid="{D5CDD505-2E9C-101B-9397-08002B2CF9AE}" pid="9" name="MSIP_Label_6bd9ddd1-4d20-43f6-abfa-fc3c07406f94_ContentBits">
    <vt:lpwstr>0</vt:lpwstr>
  </property>
  <property fmtid="{D5CDD505-2E9C-101B-9397-08002B2CF9AE}" pid="10" name="EC_Collab_Status">
    <vt:lpwstr>Not Started</vt:lpwstr>
  </property>
  <property fmtid="{D5CDD505-2E9C-101B-9397-08002B2CF9AE}" pid="11" name="EC_Collab_DocumentLanguage">
    <vt:lpwstr>EN</vt:lpwstr>
  </property>
</Properties>
</file>